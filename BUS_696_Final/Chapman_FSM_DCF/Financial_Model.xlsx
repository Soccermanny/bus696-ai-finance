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⌨ Shortcuts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Summary Dashboard" sheetId="6" state="visible" r:id="rId8"/>
    <sheet name="Model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<sst xmlns="http://schemas.openxmlformats.org/spreadsheetml/2006/main" count="411" uniqueCount="353">
  <si>
    <t xml:space="preserve">KEYBOARD SHORTCUTS REFERENCE</t>
  </si>
  <si>
    <t xml:space="preserve">Financial Statement Model  |  All shortcuts for Excel on Windows (Mac: swap Ctrl ↔ Cmd)</t>
  </si>
  <si>
    <t xml:space="preserve">COLOR CONVENTION REMINDER</t>
  </si>
  <si>
    <t xml:space="preserve">Blue text</t>
  </si>
  <si>
    <t xml:space="preserve">Hardcoded inputs — safe to change</t>
  </si>
  <si>
    <t xml:space="preserve">Black text</t>
  </si>
  <si>
    <t xml:space="preserve">Formulas — do NOT overwrite</t>
  </si>
  <si>
    <t xml:space="preserve">Green text</t>
  </si>
  <si>
    <t xml:space="preserve">Cross-sheet links</t>
  </si>
  <si>
    <t xml:space="preserve">Yellow fill</t>
  </si>
  <si>
    <t xml:space="preserve">Key assumptions needing attention</t>
  </si>
  <si>
    <t xml:space="preserve">NAVIGATION</t>
  </si>
  <si>
    <t xml:space="preserve">FORMULAS &amp; AUDITING</t>
  </si>
  <si>
    <t xml:space="preserve">Ctrl + Home</t>
  </si>
  <si>
    <t xml:space="preserve">Go to cell A1</t>
  </si>
  <si>
    <t xml:space="preserve">F2</t>
  </si>
  <si>
    <t xml:space="preserve">Enter edit mode in active cell</t>
  </si>
  <si>
    <t xml:space="preserve">Ctrl + End</t>
  </si>
  <si>
    <t xml:space="preserve">Go to last used cell</t>
  </si>
  <si>
    <t xml:space="preserve">F4</t>
  </si>
  <si>
    <t xml:space="preserve">Toggle $absolute vs relative refs</t>
  </si>
  <si>
    <t xml:space="preserve">Ctrl + Arrow Keys</t>
  </si>
  <si>
    <t xml:space="preserve">Jump to edge of data region</t>
  </si>
  <si>
    <t xml:space="preserve">F9</t>
  </si>
  <si>
    <t xml:space="preserve">Evaluate selected part of formula</t>
  </si>
  <si>
    <t xml:space="preserve">Ctrl + PgUp / PgDn</t>
  </si>
  <si>
    <t xml:space="preserve">Move between sheets</t>
  </si>
  <si>
    <t xml:space="preserve">Ctrl + `</t>
  </si>
  <si>
    <t xml:space="preserve">Toggle show formulas vs values</t>
  </si>
  <si>
    <t xml:space="preserve">F5  (or Ctrl + G)</t>
  </si>
  <si>
    <t xml:space="preserve">Go To dialog</t>
  </si>
  <si>
    <t xml:space="preserve">Ctrl + [</t>
  </si>
  <si>
    <t xml:space="preserve">Select direct precedents (blue arrows)</t>
  </si>
  <si>
    <t xml:space="preserve">Ctrl + F</t>
  </si>
  <si>
    <t xml:space="preserve">Find &amp; Replace</t>
  </si>
  <si>
    <t xml:space="preserve">Ctrl + ]</t>
  </si>
  <si>
    <t xml:space="preserve">Select direct dependents</t>
  </si>
  <si>
    <t xml:space="preserve">Ctrl + Shift + F</t>
  </si>
  <si>
    <t xml:space="preserve">Find in all sheets (Acrobat style)</t>
  </si>
  <si>
    <t xml:space="preserve">Alt + M + P</t>
  </si>
  <si>
    <t xml:space="preserve">Trace Precedents (ribbon shortcut)</t>
  </si>
  <si>
    <t xml:space="preserve">Alt + M + D</t>
  </si>
  <si>
    <t xml:space="preserve">Trace Dependents</t>
  </si>
  <si>
    <t xml:space="preserve">SELECTION</t>
  </si>
  <si>
    <t xml:space="preserve">Alt + M + A + A</t>
  </si>
  <si>
    <t xml:space="preserve">Remove all tracer arrows</t>
  </si>
  <si>
    <t xml:space="preserve">Ctrl + Shift + End</t>
  </si>
  <si>
    <t xml:space="preserve">Select from cursor to last used cell</t>
  </si>
  <si>
    <t xml:space="preserve">Ctrl + Shift + F3</t>
  </si>
  <si>
    <t xml:space="preserve">Create names from selection</t>
  </si>
  <si>
    <t xml:space="preserve">Ctrl + Shift + Arrow</t>
  </si>
  <si>
    <t xml:space="preserve">Extend selection to region edge</t>
  </si>
  <si>
    <t xml:space="preserve">Ctrl + Space</t>
  </si>
  <si>
    <t xml:space="preserve">Select entire column</t>
  </si>
  <si>
    <t xml:space="preserve">ROWS, COLUMNS &amp; GROUPING</t>
  </si>
  <si>
    <t xml:space="preserve">Shift + Space</t>
  </si>
  <si>
    <t xml:space="preserve">Select entire row</t>
  </si>
  <si>
    <t xml:space="preserve">Ctrl + Shift + +</t>
  </si>
  <si>
    <t xml:space="preserve">Insert row or column</t>
  </si>
  <si>
    <t xml:space="preserve">Ctrl + A</t>
  </si>
  <si>
    <t xml:space="preserve">Select all (or current region)</t>
  </si>
  <si>
    <t xml:space="preserve">Ctrl + -</t>
  </si>
  <si>
    <t xml:space="preserve">Delete row or column</t>
  </si>
  <si>
    <t xml:space="preserve">Ctrl + Shift + *</t>
  </si>
  <si>
    <t xml:space="preserve">Select current region around cursor</t>
  </si>
  <si>
    <t xml:space="preserve">Alt + Shift + Right</t>
  </si>
  <si>
    <t xml:space="preserve">Group rows or columns</t>
  </si>
  <si>
    <t xml:space="preserve">Alt + Shift + Left</t>
  </si>
  <si>
    <t xml:space="preserve">Ungroup rows or columns</t>
  </si>
  <si>
    <t xml:space="preserve">FORMATTING</t>
  </si>
  <si>
    <t xml:space="preserve">Alt + A + H</t>
  </si>
  <si>
    <t xml:space="preserve">Hide / collapse group detail</t>
  </si>
  <si>
    <t xml:space="preserve">Ctrl + 1</t>
  </si>
  <si>
    <t xml:space="preserve">Open Format Cells dialog (all formatting)</t>
  </si>
  <si>
    <t xml:space="preserve">Alt + A + J</t>
  </si>
  <si>
    <t xml:space="preserve">Show / expand group detail</t>
  </si>
  <si>
    <t xml:space="preserve">Ctrl + B</t>
  </si>
  <si>
    <t xml:space="preserve">Bold</t>
  </si>
  <si>
    <t xml:space="preserve">Ctrl + 9</t>
  </si>
  <si>
    <t xml:space="preserve">Hide rows</t>
  </si>
  <si>
    <t xml:space="preserve">Ctrl + I</t>
  </si>
  <si>
    <t xml:space="preserve">Italic</t>
  </si>
  <si>
    <t xml:space="preserve">Ctrl + 0</t>
  </si>
  <si>
    <t xml:space="preserve">Hide columns</t>
  </si>
  <si>
    <t xml:space="preserve">Ctrl + U</t>
  </si>
  <si>
    <t xml:space="preserve">Underline</t>
  </si>
  <si>
    <t xml:space="preserve">Ctrl + Shift + 9</t>
  </si>
  <si>
    <t xml:space="preserve">Unhide rows</t>
  </si>
  <si>
    <t xml:space="preserve">Ctrl + Shift + $</t>
  </si>
  <si>
    <t xml:space="preserve">Apply currency format</t>
  </si>
  <si>
    <t xml:space="preserve">Ctrl + Shift + 0</t>
  </si>
  <si>
    <t xml:space="preserve">Unhide columns</t>
  </si>
  <si>
    <t xml:space="preserve">Ctrl + Shift + %</t>
  </si>
  <si>
    <t xml:space="preserve">Apply percentage format</t>
  </si>
  <si>
    <t xml:space="preserve">Ctrl + Shift + !</t>
  </si>
  <si>
    <t xml:space="preserve">Apply number format (2 decimals)</t>
  </si>
  <si>
    <t xml:space="preserve">FILE &amp; WORKBOOK</t>
  </si>
  <si>
    <t xml:space="preserve">Ctrl + Shift + ~</t>
  </si>
  <si>
    <t xml:space="preserve">Apply general number format</t>
  </si>
  <si>
    <t xml:space="preserve">Ctrl + S</t>
  </si>
  <si>
    <t xml:space="preserve">Save</t>
  </si>
  <si>
    <t xml:space="preserve">Alt + H + H</t>
  </si>
  <si>
    <t xml:space="preserve">Fill color picker</t>
  </si>
  <si>
    <t xml:space="preserve">Ctrl + Z</t>
  </si>
  <si>
    <t xml:space="preserve">Undo</t>
  </si>
  <si>
    <t xml:space="preserve">Alt + H + F + C</t>
  </si>
  <si>
    <t xml:space="preserve">Font color picker</t>
  </si>
  <si>
    <t xml:space="preserve">Ctrl + Y</t>
  </si>
  <si>
    <t xml:space="preserve">Redo</t>
  </si>
  <si>
    <t xml:space="preserve">F12</t>
  </si>
  <si>
    <t xml:space="preserve">Save As</t>
  </si>
  <si>
    <t xml:space="preserve">COPY, PASTE &amp; FILL</t>
  </si>
  <si>
    <t xml:space="preserve">Ctrl + W</t>
  </si>
  <si>
    <t xml:space="preserve">Close workbook</t>
  </si>
  <si>
    <t xml:space="preserve">Ctrl + C</t>
  </si>
  <si>
    <t xml:space="preserve">Copy</t>
  </si>
  <si>
    <t xml:space="preserve">Ctrl + N</t>
  </si>
  <si>
    <t xml:space="preserve">New workbook</t>
  </si>
  <si>
    <t xml:space="preserve">Ctrl + V</t>
  </si>
  <si>
    <t xml:space="preserve">Paste</t>
  </si>
  <si>
    <t xml:space="preserve">Ctrl + O</t>
  </si>
  <si>
    <t xml:space="preserve">Open file</t>
  </si>
  <si>
    <t xml:space="preserve">Ctrl + X</t>
  </si>
  <si>
    <t xml:space="preserve">Cut</t>
  </si>
  <si>
    <t xml:space="preserve">Ctrl + P</t>
  </si>
  <si>
    <t xml:space="preserve">Print</t>
  </si>
  <si>
    <t xml:space="preserve">Ctrl + Alt + V</t>
  </si>
  <si>
    <t xml:space="preserve">Paste Special dialog</t>
  </si>
  <si>
    <t xml:space="preserve">Alt + E + S + V</t>
  </si>
  <si>
    <t xml:space="preserve">Paste Values only</t>
  </si>
  <si>
    <t xml:space="preserve">DATA, TABLES &amp; PIVOT</t>
  </si>
  <si>
    <t xml:space="preserve">Alt + E + S + T</t>
  </si>
  <si>
    <t xml:space="preserve">Paste Formats only</t>
  </si>
  <si>
    <t xml:space="preserve">Alt + D + L</t>
  </si>
  <si>
    <t xml:space="preserve">Data Validation dialog</t>
  </si>
  <si>
    <t xml:space="preserve">Ctrl + D</t>
  </si>
  <si>
    <t xml:space="preserve">Fill Down</t>
  </si>
  <si>
    <t xml:space="preserve">Alt + N + V</t>
  </si>
  <si>
    <t xml:space="preserve">Insert PivotTable</t>
  </si>
  <si>
    <t xml:space="preserve">Ctrl + R</t>
  </si>
  <si>
    <t xml:space="preserve">Fill Right</t>
  </si>
  <si>
    <t xml:space="preserve">Alt + D + P</t>
  </si>
  <si>
    <t xml:space="preserve">PivotTable wizard</t>
  </si>
  <si>
    <t xml:space="preserve">Ctrl + T</t>
  </si>
  <si>
    <t xml:space="preserve">Insert Table</t>
  </si>
  <si>
    <t xml:space="preserve">Alt + D + F + F</t>
  </si>
  <si>
    <t xml:space="preserve">AutoFilter toggle</t>
  </si>
  <si>
    <t xml:space="preserve">Alt + Down Arrow</t>
  </si>
  <si>
    <t xml:space="preserve">Open filter dropdown in header</t>
  </si>
  <si>
    <t xml:space="preserve">Ctrl + Shift + L</t>
  </si>
  <si>
    <t xml:space="preserve">Toggle filters on selection</t>
  </si>
  <si>
    <t xml:space="preserve">MACRO POPUP SETUP (Ctrl + Shift + Q)</t>
  </si>
  <si>
    <t xml:space="preserve">To enable the Ctrl+Shift+Q popup, press Alt+F11 to open the VBA Editor, then:</t>
  </si>
  <si>
    <t xml:space="preserve">1. In the Project panel (left), double-click 'ThisWorkbook'</t>
  </si>
  <si>
    <t xml:space="preserve">2. Paste this code:</t>
  </si>
  <si>
    <t xml:space="preserve">   Private Sub Workbook_Open()</t>
  </si>
  <si>
    <t xml:space="preserve">       Application.OnKey '^+Q', 'ShowShortcuts'</t>
  </si>
  <si>
    <t xml:space="preserve">   End Sub</t>
  </si>
  <si>
    <t xml:space="preserve">3. Insert a new Module (Insert &gt; Module) and paste the ShowShortcuts macro from the .bas file included.</t>
  </si>
  <si>
    <t xml:space="preserve">4. Save the file as .xlsm (macro-enabled workbook).</t>
  </si>
  <si>
    <t xml:space="preserve">5. Each time the file opens, Ctrl+Shift+Q will trigger the popup.</t>
  </si>
  <si>
    <t xml:space="preserve">INTEGRATED FINANCIAL STATEMENT MODEL</t>
  </si>
  <si>
    <t xml:space="preserve">Wall Street Prep Framework — Data Scientist Edition</t>
  </si>
  <si>
    <t xml:space="preserve">Color Code:  Blue = Hardcoded Input  |  Black = Formula  |  Green = Cross-Sheet Link</t>
  </si>
  <si>
    <t xml:space="preserve">ASSUMPTIONS &amp; DRIVERS</t>
  </si>
  <si>
    <t xml:space="preserve">Label</t>
  </si>
  <si>
    <t xml:space="preserve">FY2020A</t>
  </si>
  <si>
    <t xml:space="preserve">FY2021A</t>
  </si>
  <si>
    <t xml:space="preserve">FY2022A</t>
  </si>
  <si>
    <t xml:space="preserve">FY2023E</t>
  </si>
  <si>
    <t xml:space="preserve">FY2024E</t>
  </si>
  <si>
    <t xml:space="preserve">FY2025E</t>
  </si>
  <si>
    <t xml:space="preserve">Revenue Assumptions</t>
  </si>
  <si>
    <t xml:space="preserve">Revenue Growth Rate (YoY %)</t>
  </si>
  <si>
    <t xml:space="preserve">rev_growth</t>
  </si>
  <si>
    <t xml:space="preserve">N/A</t>
  </si>
  <si>
    <t xml:space="preserve">Gross Margin (%)</t>
  </si>
  <si>
    <t xml:space="preserve">gp_margin</t>
  </si>
  <si>
    <t xml:space="preserve">Anchor Revenue ($mm)</t>
  </si>
  <si>
    <t xml:space="preserve">Operating Expense Assumptions</t>
  </si>
  <si>
    <t xml:space="preserve">R&amp;D as % of Revenue</t>
  </si>
  <si>
    <t xml:space="preserve">rd_pct</t>
  </si>
  <si>
    <t xml:space="preserve">SG&amp;A as % of Revenue</t>
  </si>
  <si>
    <t xml:space="preserve">sga_pct</t>
  </si>
  <si>
    <t xml:space="preserve">D&amp;A as % of Revenue</t>
  </si>
  <si>
    <t xml:space="preserve">da_pct</t>
  </si>
  <si>
    <t xml:space="preserve">SBC as % of Revenue</t>
  </si>
  <si>
    <t xml:space="preserve">sbc_pct</t>
  </si>
  <si>
    <t xml:space="preserve">Effective Tax Rate (%)</t>
  </si>
  <si>
    <t xml:space="preserve">tax_rate</t>
  </si>
  <si>
    <t xml:space="preserve">Working Capital Assumptions (Days)</t>
  </si>
  <si>
    <t xml:space="preserve">Days Sales Outstanding (DSO)</t>
  </si>
  <si>
    <t xml:space="preserve">dso</t>
  </si>
  <si>
    <t xml:space="preserve">Days Inventory Outstanding (DIO)</t>
  </si>
  <si>
    <t xml:space="preserve">dio</t>
  </si>
  <si>
    <t xml:space="preserve">Days Payable Outstanding (DPO)</t>
  </si>
  <si>
    <t xml:space="preserve">dpo</t>
  </si>
  <si>
    <t xml:space="preserve">Capex &amp; Financing Assumptions</t>
  </si>
  <si>
    <t xml:space="preserve">Capex as % of Revenue</t>
  </si>
  <si>
    <t xml:space="preserve">capex_pct</t>
  </si>
  <si>
    <t xml:space="preserve">Interest Rate on Debt (%)</t>
  </si>
  <si>
    <t xml:space="preserve">int_rate</t>
  </si>
  <si>
    <t xml:space="preserve">Dividend Payout Ratio (%)</t>
  </si>
  <si>
    <t xml:space="preserve">div_payout</t>
  </si>
  <si>
    <t xml:space="preserve">Share Repurchase as % of NI</t>
  </si>
  <si>
    <t xml:space="preserve">buyback_pct</t>
  </si>
  <si>
    <t xml:space="preserve">Minimum Cash Balance ($mm)</t>
  </si>
  <si>
    <t xml:space="preserve">min_cash</t>
  </si>
  <si>
    <t xml:space="preserve">INCOME STATEMENT</t>
  </si>
  <si>
    <t xml:space="preserve">All figures in $mm unless otherwise noted</t>
  </si>
  <si>
    <t xml:space="preserve">INCOME STATEMENT ($mm)</t>
  </si>
  <si>
    <t xml:space="preserve">Driver</t>
  </si>
  <si>
    <t xml:space="preserve">Revenue</t>
  </si>
  <si>
    <t xml:space="preserve">    YoY Growth (%)</t>
  </si>
  <si>
    <t xml:space="preserve">Cost of Revenue &amp; Gross Profit</t>
  </si>
  <si>
    <t xml:space="preserve">  Cost of Revenue (COGS)</t>
  </si>
  <si>
    <t xml:space="preserve">Gross Profit</t>
  </si>
  <si>
    <t xml:space="preserve">    Gross Margin (%)</t>
  </si>
  <si>
    <t xml:space="preserve">Operating Expenses</t>
  </si>
  <si>
    <t xml:space="preserve">  R&amp;D</t>
  </si>
  <si>
    <t xml:space="preserve">  SG&amp;A</t>
  </si>
  <si>
    <t xml:space="preserve">  D&amp;A</t>
  </si>
  <si>
    <t xml:space="preserve">Total Operating Expenses</t>
  </si>
  <si>
    <t xml:space="preserve">EBIT / EBITDA</t>
  </si>
  <si>
    <t xml:space="preserve">EBIT (Operating Income)</t>
  </si>
  <si>
    <t xml:space="preserve">    EBIT Margin (%)</t>
  </si>
  <si>
    <t xml:space="preserve">EBITDA  (EBIT + D&amp;A)</t>
  </si>
  <si>
    <t xml:space="preserve">    EBITDA Margin (%)</t>
  </si>
  <si>
    <t xml:space="preserve">Below-the-Line &amp; Net Income</t>
  </si>
  <si>
    <t xml:space="preserve">  Interest Expense</t>
  </si>
  <si>
    <t xml:space="preserve">Pretax Income (EBT)</t>
  </si>
  <si>
    <t xml:space="preserve">    Tax Expense</t>
  </si>
  <si>
    <t xml:space="preserve">Net Income</t>
  </si>
  <si>
    <t xml:space="preserve">    Net Margin (%)</t>
  </si>
  <si>
    <t xml:space="preserve">BALANCE SHEET</t>
  </si>
  <si>
    <t xml:space="preserve">BALANCE SHEET ($mm)</t>
  </si>
  <si>
    <t xml:space="preserve">CURRENT ASSETS</t>
  </si>
  <si>
    <t xml:space="preserve">Cash &amp; Equivalents</t>
  </si>
  <si>
    <t xml:space="preserve">revolver</t>
  </si>
  <si>
    <t xml:space="preserve">Accounts Receivable</t>
  </si>
  <si>
    <t xml:space="preserve">Inventory</t>
  </si>
  <si>
    <t xml:space="preserve">Prepaid &amp; Other Current</t>
  </si>
  <si>
    <t xml:space="preserve">Total Current Assets</t>
  </si>
  <si>
    <t xml:space="preserve">SUM</t>
  </si>
  <si>
    <t xml:space="preserve">NON-CURRENT ASSETS</t>
  </si>
  <si>
    <t xml:space="preserve">  PP&amp;E, Net</t>
  </si>
  <si>
    <t xml:space="preserve">  Other Non-Current Assets</t>
  </si>
  <si>
    <t xml:space="preserve">Total Non-Current Assets</t>
  </si>
  <si>
    <t xml:space="preserve">TOTAL ASSETS</t>
  </si>
  <si>
    <t xml:space="preserve">CURRENT LIABILITIES</t>
  </si>
  <si>
    <t xml:space="preserve">  Accounts Payable</t>
  </si>
  <si>
    <t xml:space="preserve">  Deferred Revenue</t>
  </si>
  <si>
    <t xml:space="preserve">  Other Accrued Liabilities</t>
  </si>
  <si>
    <t xml:space="preserve">Total Current Liabilities</t>
  </si>
  <si>
    <t xml:space="preserve">NON-CURRENT LIABILITIES</t>
  </si>
  <si>
    <t xml:space="preserve">  Long-Term Debt</t>
  </si>
  <si>
    <t xml:space="preserve">  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</si>
  <si>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</si>
  <si>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</si>
  <si>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</si>
  <si>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  Common Stock &amp; APIC</t>
  </si>
  <si>
    <t xml:space="preserve">  Retained Earnings</t>
  </si>
  <si>
    <t xml:space="preserve">  Other Comprehensive Income</t>
  </si>
  <si>
    <t xml:space="preserve">Total Shareholders' Equity</t>
  </si>
  <si>
    <t xml:space="preserve">TOTAL LIABILITIES &amp; EQUITY</t>
  </si>
  <si>
    <t xml:space="preserve">Balance Check (Assets - L&amp;E) → should be 0</t>
  </si>
  <si>
    <t xml:space="preserve">CASH FLOW STATEMENT</t>
  </si>
  <si>
    <t xml:space="preserve">CASH FLOW STATEMENT ($mm)</t>
  </si>
  <si>
    <t xml:space="preserve">CASH FROM OPERATIONS (CFO)</t>
  </si>
  <si>
    <t xml:space="preserve">  Net Income</t>
  </si>
  <si>
    <t xml:space="preserve">  + Depreciation &amp; Amortization</t>
  </si>
  <si>
    <t xml:space="preserve">  +/- Change in Working Capital</t>
  </si>
  <si>
    <t xml:space="preserve">Cash From Operations</t>
  </si>
  <si>
    <t xml:space="preserve">CASH FROM INVESTING (CFI)</t>
  </si>
  <si>
    <t xml:space="preserve">  Capital Expenditures</t>
  </si>
  <si>
    <t xml:space="preserve">Cash From Investing</t>
  </si>
  <si>
    <t xml:space="preserve">CASH FROM FINANCING (CFF)</t>
  </si>
  <si>
    <t xml:space="preserve">  Debt Issuance / (Repayment)</t>
  </si>
  <si>
    <t xml:space="preserve">  Dividends Paid</t>
  </si>
  <si>
    <t xml:space="preserve">  Share Repurchases</t>
  </si>
  <si>
    <t xml:space="preserve">Cash From Financing</t>
  </si>
  <si>
    <t xml:space="preserve">NET CHANGE IN CASH</t>
  </si>
  <si>
    <t xml:space="preserve">FREE CASH FLOW (FCF) ANALYSIS</t>
  </si>
  <si>
    <t xml:space="preserve">  EBITDA</t>
  </si>
  <si>
    <t xml:space="preserve">  Less: Capex</t>
  </si>
  <si>
    <t xml:space="preserve">  Less: Change in Working Capital</t>
  </si>
  <si>
    <t xml:space="preserve">  Less: Cash Taxes</t>
  </si>
  <si>
    <t xml:space="preserve">Unlevered Free Cash Flow</t>
  </si>
  <si>
    <t xml:space="preserve">  FCF Margin (%)</t>
  </si>
  <si>
    <t xml:space="preserve">  FCF Conversion (FCF / EBITDA)</t>
  </si>
  <si>
    <t xml:space="preserve">FINANCIAL MODEL SUMMARY DASHBOARD</t>
  </si>
  <si>
    <t xml:space="preserve">Key performance indicators and financial summary</t>
  </si>
  <si>
    <t xml:space="preserve">SUMMARY KPIs ($mm)</t>
  </si>
  <si>
    <t xml:space="preserve">Sheet</t>
  </si>
  <si>
    <t xml:space="preserve">INCOME STATEMENT HIGHLIGHTS</t>
  </si>
  <si>
    <t xml:space="preserve">Revenue ($mm)</t>
  </si>
  <si>
    <t xml:space="preserve">IS</t>
  </si>
  <si>
    <t xml:space="preserve">  YoY Growth</t>
  </si>
  <si>
    <t xml:space="preserve">Gross Profit ($mm)</t>
  </si>
  <si>
    <t xml:space="preserve">  Gross Margin</t>
  </si>
  <si>
    <t xml:space="preserve">EBIT ($mm)</t>
  </si>
  <si>
    <t xml:space="preserve">  EBIT Margin</t>
  </si>
  <si>
    <t xml:space="preserve">EBITDA ($mm)</t>
  </si>
  <si>
    <t xml:space="preserve">  EBITDA Margin</t>
  </si>
  <si>
    <t xml:space="preserve">Net Income ($mm)</t>
  </si>
  <si>
    <t xml:space="preserve">  Net Margin</t>
  </si>
  <si>
    <t xml:space="preserve">CASH FLOW HIGHLIGHTS</t>
  </si>
  <si>
    <t xml:space="preserve">CFO ($mm)</t>
  </si>
  <si>
    <t xml:space="preserve">CFS</t>
  </si>
  <si>
    <t xml:space="preserve">Capex ($mm)</t>
  </si>
  <si>
    <t xml:space="preserve">Free Cash Flow ($mm)</t>
  </si>
  <si>
    <t xml:space="preserve">  FCF Margin</t>
  </si>
  <si>
    <t xml:space="preserve">BALANCE SHEET HIGHLIGHTS</t>
  </si>
  <si>
    <t xml:space="preserve">Cash &amp; Equivalents ($mm)</t>
  </si>
  <si>
    <t xml:space="preserve">BS</t>
  </si>
  <si>
    <t xml:space="preserve">Total Assets ($mm)</t>
  </si>
  <si>
    <t xml:space="preserve">Total Debt ($mm)</t>
  </si>
  <si>
    <t xml:space="preserve">Net Debt ($mm)</t>
  </si>
  <si>
    <t xml:space="preserve">Total Equity ($mm)</t>
  </si>
  <si>
    <t xml:space="preserve">MODEL METHODOLOGY &amp; DATA SCIENTIST NOTES</t>
  </si>
  <si>
    <t xml:space="preserve">OVERVIEW</t>
  </si>
  <si>
    <t xml:space="preserve">This model follows the Wall Street Prep integrated financial statement modeling framework.</t>
  </si>
  <si>
    <t xml:space="preserve">It is structured as a 3-statement model: Income Statement → Balance Sheet → Cash Flow Statement,</t>
  </si>
  <si>
    <t xml:space="preserve">all linked via a central Assumptions sheet. Color conventions follow industry standard.</t>
  </si>
  <si>
    <t xml:space="preserve">COLOR CODING</t>
  </si>
  <si>
    <t xml:space="preserve">BLUE  = Hardcoded inputs (change these to run scenarios)</t>
  </si>
  <si>
    <t xml:space="preserve">BLACK = Formulas calculated within the sheet</t>
  </si>
  <si>
    <t xml:space="preserve">GREEN = Cross-sheet references (links to other tabs)</t>
  </si>
  <si>
    <t xml:space="preserve">FORECAST METHODOLOGY</t>
  </si>
  <si>
    <t xml:space="preserve">Revenue:          Growth-rate driven from Assumptions sheet (rev_growth)</t>
  </si>
  <si>
    <t xml:space="preserve">Gross Profit:     Margin-based (gp_margin × Revenue)</t>
  </si>
  <si>
    <t xml:space="preserve">R&amp;D / SG&amp;A:       % of Revenue (rd_pct, sga_pct from Assumptions)</t>
  </si>
  <si>
    <t xml:space="preserve">D&amp;A:              % of Revenue (da_pct) — used in EBITDA and PP&amp;E roll-forward</t>
  </si>
  <si>
    <t xml:space="preserve">Working Capital:  DSO/DIO/DPO days × Revenue or COGS / 365</t>
  </si>
  <si>
    <t xml:space="preserve">PP&amp;E:             Roll-forward: Prior PP&amp;E + Capex – D&amp;A</t>
  </si>
  <si>
    <t xml:space="preserve">Retained Earnings:Roll-forward: Prior RE + Net Income – Dividends – Buybacks</t>
  </si>
  <si>
    <t xml:space="preserve">Cash:             Plug from ending cash flow statement (net change in cash)</t>
  </si>
  <si>
    <t xml:space="preserve">DATA SCIENTIST EXTENSION IDEAS</t>
  </si>
  <si>
    <t xml:space="preserve">1. Monte Carlo simulation: Sample distributions for rev_growth and margins to generate FCF ranges</t>
  </si>
  <si>
    <t xml:space="preserve">2. Scenario analysis: Toggle BLUE input cells to create base / bull / bear cases</t>
  </si>
  <si>
    <t xml:space="preserve">3. DCF valuation: Discount projected FCFs at WACC to derive intrinsic value</t>
  </si>
  <si>
    <t xml:space="preserve">4. Sensitivity tables: Build 2-way tables (revenue growth vs. margin) for EBITDA / NI</t>
  </si>
  <si>
    <t xml:space="preserve">5. ML integration: Use regression on comps to calibrate margin and growth assumptions</t>
  </si>
  <si>
    <t xml:space="preserve">6. Time series: Replace hardcoded historical inputs with API-pulled actuals (e.g. SEC EDGAR)</t>
  </si>
  <si>
    <t xml:space="preserve">KEY FORMULA PATTERNS</t>
  </si>
  <si>
    <t xml:space="preserve">Revenue (forecast):      =Prior_Rev * (1 + rev_growth)</t>
  </si>
  <si>
    <t xml:space="preserve">Gross Profit:            =Revenue * gp_margin</t>
  </si>
  <si>
    <t xml:space="preserve">AR (forecast):           =Revenue / 365 * DSO</t>
  </si>
  <si>
    <t xml:space="preserve">Inventory (forecast):    =COGS / 365 * DIO</t>
  </si>
  <si>
    <t xml:space="preserve">AP (forecast):           =COGS / 365 * DPO</t>
  </si>
  <si>
    <t xml:space="preserve">PP&amp;E (forecast):         =PP&amp;E_prior + Capex – D&amp;A</t>
  </si>
  <si>
    <t xml:space="preserve">RE (forecast):           =RE_prior + Net_Income – Dividends – Buybacks</t>
  </si>
  <si>
    <t xml:space="preserve">FCF:                     =EBITDA + Capex + ΔNWC – Cash_Taxes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</si>
</sst>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-0.0%;\-"/>
    <numFmt numFmtId="166" formatCode="#,##0;\(#,##0\);\-"/>
    <numFmt numFmtId="167" formatCode="0.0"/>
    <numFmt numFmtId="168" formatCode="0.0\x;\-0.0\x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206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2060"/>
      <name val="Consolas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Consolas"/>
      <family val="0"/>
      <charset val="1"/>
    </font>
    <font>
      <b val="true"/>
      <sz val="14"/>
      <color rgb="FF00206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EFF"/>
        <bgColor rgb="FFD9E1F2"/>
      </patternFill>
    </fill>
    <fill>
      <patternFill patternType="solid">
        <fgColor rgb="FFF2F2F2"/>
        <bgColor rgb="FFF0F4FF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2060"/>
        <bgColor rgb="FF000080"/>
      </patternFill>
    </fill>
    <fill>
      <patternFill patternType="solid">
        <fgColor rgb="FFF0F4FF"/>
        <bgColor rgb="FFF2F2F2"/>
      </patternFill>
    </fill>
    <fill>
      <patternFill patternType="solid">
        <fgColor rgb="FFFAFAFA"/>
        <bgColor rgb="FFFFF9F9"/>
      </patternFill>
    </fill>
    <fill>
      <patternFill patternType="solid">
        <fgColor rgb="FFC00000"/>
        <bgColor rgb="FFFF0000"/>
      </patternFill>
    </fill>
    <fill>
      <patternFill patternType="solid">
        <fgColor rgb="FFFFF9F9"/>
        <bgColor rgb="FFFAFAFA"/>
      </patternFill>
    </fill>
    <fill>
      <patternFill patternType="solid">
        <fgColor rgb="FFD9E1F2"/>
        <bgColor rgb="FFDDEE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E2EFDA"/>
      <rgbColor rgb="FFF2F2F2"/>
      <rgbColor rgb="FFFAFAFA"/>
      <rgbColor rgb="FFFF99CC"/>
      <rgbColor rgb="FFCC99FF"/>
      <rgbColor rgb="FFFFF9F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"/>
    <col collapsed="false" customWidth="true" hidden="false" outlineLevel="0" max="5" min="5" style="0" width="30"/>
    <col collapsed="false" customWidth="true" hidden="false" outlineLevel="0" max="6" min="6" style="0" width="4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7" t="s">
        <v>6</v>
      </c>
    </row>
    <row r="7" customFormat="false" ht="15" hidden="false" customHeight="false" outlineLevel="0" collapsed="false">
      <c r="B7" s="8" t="s">
        <v>7</v>
      </c>
      <c r="C7" s="9" t="s">
        <v>8</v>
      </c>
    </row>
    <row r="8" customFormat="false" ht="15" hidden="false" customHeight="false" outlineLevel="0" collapsed="false">
      <c r="B8" s="10" t="s">
        <v>9</v>
      </c>
      <c r="C8" s="11" t="s">
        <v>10</v>
      </c>
    </row>
    <row r="11" customFormat="false" ht="15.75" hidden="false" customHeight="true" outlineLevel="0" collapsed="false">
      <c r="B11" s="12" t="s">
        <v>11</v>
      </c>
      <c r="C11" s="13"/>
      <c r="E11" s="12" t="s">
        <v>12</v>
      </c>
      <c r="F11" s="13"/>
    </row>
    <row r="12" customFormat="false" ht="15" hidden="false" customHeight="true" outlineLevel="0" collapsed="false">
      <c r="B12" s="14" t="s">
        <v>13</v>
      </c>
      <c r="C12" s="15" t="s">
        <v>14</v>
      </c>
      <c r="E12" s="14" t="s">
        <v>15</v>
      </c>
      <c r="F12" s="15" t="s">
        <v>16</v>
      </c>
    </row>
    <row r="13" customFormat="false" ht="15" hidden="false" customHeight="true" outlineLevel="0" collapsed="false">
      <c r="B13" s="14" t="s">
        <v>17</v>
      </c>
      <c r="C13" s="15" t="s">
        <v>18</v>
      </c>
      <c r="E13" s="14" t="s">
        <v>19</v>
      </c>
      <c r="F13" s="15" t="s">
        <v>20</v>
      </c>
    </row>
    <row r="14" customFormat="false" ht="15" hidden="false" customHeight="true" outlineLevel="0" collapsed="false">
      <c r="B14" s="14" t="s">
        <v>21</v>
      </c>
      <c r="C14" s="15" t="s">
        <v>22</v>
      </c>
      <c r="E14" s="14" t="s">
        <v>23</v>
      </c>
      <c r="F14" s="15" t="s">
        <v>24</v>
      </c>
    </row>
    <row r="15" customFormat="false" ht="15" hidden="false" customHeight="true" outlineLevel="0" collapsed="false">
      <c r="B15" s="14" t="s">
        <v>25</v>
      </c>
      <c r="C15" s="15" t="s">
        <v>26</v>
      </c>
      <c r="E15" s="14" t="s">
        <v>27</v>
      </c>
      <c r="F15" s="15" t="s">
        <v>28</v>
      </c>
    </row>
    <row r="16" customFormat="false" ht="15" hidden="false" customHeight="true" outlineLevel="0" collapsed="false">
      <c r="B16" s="14" t="s">
        <v>29</v>
      </c>
      <c r="C16" s="15" t="s">
        <v>30</v>
      </c>
      <c r="E16" s="14" t="s">
        <v>31</v>
      </c>
      <c r="F16" s="15" t="s">
        <v>32</v>
      </c>
    </row>
    <row r="17" customFormat="false" ht="15" hidden="false" customHeight="true" outlineLevel="0" collapsed="false">
      <c r="B17" s="14" t="s">
        <v>33</v>
      </c>
      <c r="C17" s="15" t="s">
        <v>34</v>
      </c>
      <c r="E17" s="14" t="s">
        <v>35</v>
      </c>
      <c r="F17" s="15" t="s">
        <v>36</v>
      </c>
    </row>
    <row r="18" customFormat="false" ht="15" hidden="false" customHeight="true" outlineLevel="0" collapsed="false">
      <c r="B18" s="14" t="s">
        <v>37</v>
      </c>
      <c r="C18" s="15" t="s">
        <v>38</v>
      </c>
      <c r="E18" s="14" t="s">
        <v>39</v>
      </c>
      <c r="F18" s="15" t="s">
        <v>40</v>
      </c>
    </row>
    <row r="19" customFormat="false" ht="15" hidden="false" customHeight="true" outlineLevel="0" collapsed="false">
      <c r="E19" s="14" t="s">
        <v>41</v>
      </c>
      <c r="F19" s="15" t="s">
        <v>42</v>
      </c>
    </row>
    <row r="20" customFormat="false" ht="15" hidden="false" customHeight="true" outlineLevel="0" collapsed="false">
      <c r="B20" s="12" t="s">
        <v>43</v>
      </c>
      <c r="C20" s="13"/>
      <c r="E20" s="14" t="s">
        <v>44</v>
      </c>
      <c r="F20" s="15" t="s">
        <v>45</v>
      </c>
    </row>
    <row r="21" customFormat="false" ht="15" hidden="false" customHeight="true" outlineLevel="0" collapsed="false">
      <c r="B21" s="14" t="s">
        <v>46</v>
      </c>
      <c r="C21" s="15" t="s">
        <v>47</v>
      </c>
      <c r="E21" s="14" t="s">
        <v>48</v>
      </c>
      <c r="F21" s="15" t="s">
        <v>49</v>
      </c>
    </row>
    <row r="22" customFormat="false" ht="15" hidden="false" customHeight="true" outlineLevel="0" collapsed="false">
      <c r="B22" s="14" t="s">
        <v>50</v>
      </c>
      <c r="C22" s="15" t="s">
        <v>51</v>
      </c>
    </row>
    <row r="23" customFormat="false" ht="15.75" hidden="false" customHeight="true" outlineLevel="0" collapsed="false">
      <c r="B23" s="14" t="s">
        <v>52</v>
      </c>
      <c r="C23" s="15" t="s">
        <v>53</v>
      </c>
      <c r="E23" s="12" t="s">
        <v>54</v>
      </c>
      <c r="F23" s="13"/>
    </row>
    <row r="24" customFormat="false" ht="15" hidden="false" customHeight="true" outlineLevel="0" collapsed="false">
      <c r="B24" s="14" t="s">
        <v>55</v>
      </c>
      <c r="C24" s="15" t="s">
        <v>56</v>
      </c>
      <c r="E24" s="14" t="s">
        <v>57</v>
      </c>
      <c r="F24" s="15" t="s">
        <v>58</v>
      </c>
    </row>
    <row r="25" customFormat="false" ht="15" hidden="false" customHeight="true" outlineLevel="0" collapsed="false">
      <c r="B25" s="14" t="s">
        <v>59</v>
      </c>
      <c r="C25" s="15" t="s">
        <v>60</v>
      </c>
      <c r="E25" s="14" t="s">
        <v>61</v>
      </c>
      <c r="F25" s="15" t="s">
        <v>62</v>
      </c>
    </row>
    <row r="26" customFormat="false" ht="15" hidden="false" customHeight="true" outlineLevel="0" collapsed="false">
      <c r="B26" s="14" t="s">
        <v>63</v>
      </c>
      <c r="C26" s="15" t="s">
        <v>64</v>
      </c>
      <c r="E26" s="14" t="s">
        <v>65</v>
      </c>
      <c r="F26" s="15" t="s">
        <v>66</v>
      </c>
    </row>
    <row r="27" customFormat="false" ht="15" hidden="false" customHeight="true" outlineLevel="0" collapsed="false">
      <c r="E27" s="14" t="s">
        <v>67</v>
      </c>
      <c r="F27" s="15" t="s">
        <v>68</v>
      </c>
    </row>
    <row r="28" customFormat="false" ht="15" hidden="false" customHeight="true" outlineLevel="0" collapsed="false">
      <c r="B28" s="12" t="s">
        <v>69</v>
      </c>
      <c r="C28" s="13"/>
      <c r="E28" s="14" t="s">
        <v>70</v>
      </c>
      <c r="F28" s="15" t="s">
        <v>71</v>
      </c>
    </row>
    <row r="29" customFormat="false" ht="15" hidden="false" customHeight="true" outlineLevel="0" collapsed="false">
      <c r="B29" s="14" t="s">
        <v>72</v>
      </c>
      <c r="C29" s="15" t="s">
        <v>73</v>
      </c>
      <c r="E29" s="14" t="s">
        <v>74</v>
      </c>
      <c r="F29" s="15" t="s">
        <v>75</v>
      </c>
    </row>
    <row r="30" customFormat="false" ht="15" hidden="false" customHeight="true" outlineLevel="0" collapsed="false">
      <c r="B30" s="14" t="s">
        <v>76</v>
      </c>
      <c r="C30" s="15" t="s">
        <v>77</v>
      </c>
      <c r="E30" s="14" t="s">
        <v>78</v>
      </c>
      <c r="F30" s="15" t="s">
        <v>79</v>
      </c>
    </row>
    <row r="31" customFormat="false" ht="15" hidden="false" customHeight="true" outlineLevel="0" collapsed="false">
      <c r="B31" s="14" t="s">
        <v>80</v>
      </c>
      <c r="C31" s="15" t="s">
        <v>81</v>
      </c>
      <c r="E31" s="14" t="s">
        <v>82</v>
      </c>
      <c r="F31" s="15" t="s">
        <v>83</v>
      </c>
    </row>
    <row r="32" customFormat="false" ht="15" hidden="false" customHeight="true" outlineLevel="0" collapsed="false">
      <c r="B32" s="14" t="s">
        <v>84</v>
      </c>
      <c r="C32" s="15" t="s">
        <v>85</v>
      </c>
      <c r="E32" s="14" t="s">
        <v>86</v>
      </c>
      <c r="F32" s="15" t="s">
        <v>87</v>
      </c>
    </row>
    <row r="33" customFormat="false" ht="15" hidden="false" customHeight="true" outlineLevel="0" collapsed="false">
      <c r="B33" s="14" t="s">
        <v>88</v>
      </c>
      <c r="C33" s="15" t="s">
        <v>89</v>
      </c>
      <c r="E33" s="14" t="s">
        <v>90</v>
      </c>
      <c r="F33" s="15" t="s">
        <v>91</v>
      </c>
    </row>
    <row r="34" customFormat="false" ht="15" hidden="false" customHeight="true" outlineLevel="0" collapsed="false">
      <c r="B34" s="14" t="s">
        <v>92</v>
      </c>
      <c r="C34" s="15" t="s">
        <v>93</v>
      </c>
    </row>
    <row r="35" customFormat="false" ht="15.75" hidden="false" customHeight="true" outlineLevel="0" collapsed="false">
      <c r="B35" s="14" t="s">
        <v>94</v>
      </c>
      <c r="C35" s="15" t="s">
        <v>95</v>
      </c>
      <c r="E35" s="12" t="s">
        <v>96</v>
      </c>
      <c r="F35" s="13"/>
    </row>
    <row r="36" customFormat="false" ht="15" hidden="false" customHeight="true" outlineLevel="0" collapsed="false">
      <c r="B36" s="14" t="s">
        <v>97</v>
      </c>
      <c r="C36" s="15" t="s">
        <v>98</v>
      </c>
      <c r="E36" s="14" t="s">
        <v>99</v>
      </c>
      <c r="F36" s="15" t="s">
        <v>100</v>
      </c>
    </row>
    <row r="37" customFormat="false" ht="15" hidden="false" customHeight="true" outlineLevel="0" collapsed="false">
      <c r="B37" s="14" t="s">
        <v>101</v>
      </c>
      <c r="C37" s="15" t="s">
        <v>102</v>
      </c>
      <c r="E37" s="14" t="s">
        <v>103</v>
      </c>
      <c r="F37" s="15" t="s">
        <v>104</v>
      </c>
    </row>
    <row r="38" customFormat="false" ht="15" hidden="false" customHeight="true" outlineLevel="0" collapsed="false">
      <c r="B38" s="14" t="s">
        <v>105</v>
      </c>
      <c r="C38" s="15" t="s">
        <v>106</v>
      </c>
      <c r="E38" s="14" t="s">
        <v>107</v>
      </c>
      <c r="F38" s="15" t="s">
        <v>108</v>
      </c>
    </row>
    <row r="39" customFormat="false" ht="15" hidden="false" customHeight="true" outlineLevel="0" collapsed="false">
      <c r="E39" s="14" t="s">
        <v>109</v>
      </c>
      <c r="F39" s="15" t="s">
        <v>110</v>
      </c>
    </row>
    <row r="40" customFormat="false" ht="15" hidden="false" customHeight="true" outlineLevel="0" collapsed="false">
      <c r="B40" s="12" t="s">
        <v>111</v>
      </c>
      <c r="C40" s="13"/>
      <c r="E40" s="14" t="s">
        <v>112</v>
      </c>
      <c r="F40" s="15" t="s">
        <v>113</v>
      </c>
    </row>
    <row r="41" customFormat="false" ht="15" hidden="false" customHeight="true" outlineLevel="0" collapsed="false">
      <c r="B41" s="14" t="s">
        <v>114</v>
      </c>
      <c r="C41" s="15" t="s">
        <v>115</v>
      </c>
      <c r="E41" s="14" t="s">
        <v>116</v>
      </c>
      <c r="F41" s="15" t="s">
        <v>117</v>
      </c>
    </row>
    <row r="42" customFormat="false" ht="15" hidden="false" customHeight="true" outlineLevel="0" collapsed="false">
      <c r="B42" s="14" t="s">
        <v>118</v>
      </c>
      <c r="C42" s="15" t="s">
        <v>119</v>
      </c>
      <c r="E42" s="14" t="s">
        <v>120</v>
      </c>
      <c r="F42" s="15" t="s">
        <v>121</v>
      </c>
    </row>
    <row r="43" customFormat="false" ht="15" hidden="false" customHeight="true" outlineLevel="0" collapsed="false">
      <c r="B43" s="14" t="s">
        <v>122</v>
      </c>
      <c r="C43" s="15" t="s">
        <v>123</v>
      </c>
      <c r="E43" s="14" t="s">
        <v>124</v>
      </c>
      <c r="F43" s="15" t="s">
        <v>125</v>
      </c>
    </row>
    <row r="44" customFormat="false" ht="15" hidden="false" customHeight="true" outlineLevel="0" collapsed="false">
      <c r="B44" s="14" t="s">
        <v>126</v>
      </c>
      <c r="C44" s="15" t="s">
        <v>127</v>
      </c>
    </row>
    <row r="45" customFormat="false" ht="15.75" hidden="false" customHeight="true" outlineLevel="0" collapsed="false">
      <c r="B45" s="14" t="s">
        <v>128</v>
      </c>
      <c r="C45" s="15" t="s">
        <v>129</v>
      </c>
      <c r="E45" s="12" t="s">
        <v>130</v>
      </c>
      <c r="F45" s="13"/>
    </row>
    <row r="46" customFormat="false" ht="15" hidden="false" customHeight="true" outlineLevel="0" collapsed="false">
      <c r="B46" s="14" t="s">
        <v>131</v>
      </c>
      <c r="C46" s="15" t="s">
        <v>132</v>
      </c>
      <c r="E46" s="14" t="s">
        <v>133</v>
      </c>
      <c r="F46" s="15" t="s">
        <v>134</v>
      </c>
    </row>
    <row r="47" customFormat="false" ht="15" hidden="false" customHeight="true" outlineLevel="0" collapsed="false">
      <c r="B47" s="14" t="s">
        <v>135</v>
      </c>
      <c r="C47" s="15" t="s">
        <v>136</v>
      </c>
      <c r="E47" s="14" t="s">
        <v>137</v>
      </c>
      <c r="F47" s="15" t="s">
        <v>138</v>
      </c>
    </row>
    <row r="48" customFormat="false" ht="15" hidden="false" customHeight="true" outlineLevel="0" collapsed="false">
      <c r="B48" s="14" t="s">
        <v>139</v>
      </c>
      <c r="C48" s="15" t="s">
        <v>140</v>
      </c>
      <c r="E48" s="14" t="s">
        <v>141</v>
      </c>
      <c r="F48" s="15" t="s">
        <v>142</v>
      </c>
    </row>
    <row r="49" customFormat="false" ht="15" hidden="false" customHeight="true" outlineLevel="0" collapsed="false">
      <c r="E49" s="14" t="s">
        <v>143</v>
      </c>
      <c r="F49" s="15" t="s">
        <v>144</v>
      </c>
    </row>
    <row r="50" customFormat="false" ht="15" hidden="false" customHeight="true" outlineLevel="0" collapsed="false">
      <c r="E50" s="14" t="s">
        <v>145</v>
      </c>
      <c r="F50" s="15" t="s">
        <v>146</v>
      </c>
    </row>
    <row r="51" customFormat="false" ht="15" hidden="false" customHeight="true" outlineLevel="0" collapsed="false">
      <c r="E51" s="14" t="s">
        <v>147</v>
      </c>
      <c r="F51" s="15" t="s">
        <v>148</v>
      </c>
    </row>
    <row r="52" customFormat="false" ht="15" hidden="false" customHeight="true" outlineLevel="0" collapsed="false">
      <c r="E52" s="14" t="s">
        <v>149</v>
      </c>
      <c r="F52" s="15" t="s">
        <v>150</v>
      </c>
    </row>
    <row r="56" customFormat="false" ht="15" hidden="false" customHeight="false" outlineLevel="0" collapsed="false">
      <c r="B56" s="16" t="s">
        <v>151</v>
      </c>
      <c r="C56" s="17"/>
      <c r="E56" s="17"/>
      <c r="F56" s="17"/>
    </row>
    <row r="57" customFormat="false" ht="13.5" hidden="false" customHeight="true" outlineLevel="0" collapsed="false">
      <c r="B57" s="18" t="s">
        <v>152</v>
      </c>
      <c r="C57" s="18"/>
      <c r="D57" s="18"/>
      <c r="E57" s="18"/>
      <c r="F57" s="18"/>
    </row>
    <row r="58" customFormat="false" ht="13.5" hidden="false" customHeight="true" outlineLevel="0" collapsed="false">
      <c r="B58" s="18" t="s">
        <v>153</v>
      </c>
      <c r="C58" s="18"/>
      <c r="D58" s="18"/>
      <c r="E58" s="18"/>
      <c r="F58" s="18"/>
    </row>
    <row r="59" customFormat="false" ht="13.5" hidden="false" customHeight="true" outlineLevel="0" collapsed="false">
      <c r="B59" s="18" t="s">
        <v>154</v>
      </c>
      <c r="C59" s="18"/>
      <c r="D59" s="18"/>
      <c r="E59" s="18"/>
      <c r="F59" s="18"/>
    </row>
    <row r="60" customFormat="false" ht="13.5" hidden="false" customHeight="true" outlineLevel="0" collapsed="false">
      <c r="B60" s="18"/>
      <c r="C60" s="18"/>
      <c r="D60" s="18"/>
      <c r="E60" s="18"/>
      <c r="F60" s="18"/>
    </row>
    <row r="61" customFormat="false" ht="13.5" hidden="false" customHeight="true" outlineLevel="0" collapsed="false">
      <c r="B61" s="18" t="s">
        <v>155</v>
      </c>
      <c r="C61" s="18"/>
      <c r="D61" s="18"/>
      <c r="E61" s="18"/>
      <c r="F61" s="18"/>
    </row>
    <row r="62" customFormat="false" ht="13.5" hidden="false" customHeight="true" outlineLevel="0" collapsed="false">
      <c r="B62" s="18" t="s">
        <v>156</v>
      </c>
      <c r="C62" s="18"/>
      <c r="D62" s="18"/>
      <c r="E62" s="18"/>
      <c r="F62" s="18"/>
    </row>
    <row r="63" customFormat="false" ht="13.5" hidden="false" customHeight="true" outlineLevel="0" collapsed="false">
      <c r="B63" s="18" t="s">
        <v>157</v>
      </c>
      <c r="C63" s="18"/>
      <c r="D63" s="18"/>
      <c r="E63" s="18"/>
      <c r="F63" s="18"/>
    </row>
    <row r="64" customFormat="false" ht="13.5" hidden="false" customHeight="true" outlineLevel="0" collapsed="false">
      <c r="B64" s="18"/>
      <c r="C64" s="18"/>
      <c r="D64" s="18"/>
      <c r="E64" s="18"/>
      <c r="F64" s="18"/>
    </row>
    <row r="65" customFormat="false" ht="13.5" hidden="false" customHeight="true" outlineLevel="0" collapsed="false">
      <c r="B65" s="18" t="s">
        <v>158</v>
      </c>
      <c r="C65" s="18"/>
      <c r="D65" s="18"/>
      <c r="E65" s="18"/>
      <c r="F65" s="18"/>
    </row>
    <row r="66" customFormat="false" ht="13.5" hidden="false" customHeight="true" outlineLevel="0" collapsed="false">
      <c r="B66" s="18" t="s">
        <v>159</v>
      </c>
      <c r="C66" s="18"/>
      <c r="D66" s="18"/>
      <c r="E66" s="18"/>
      <c r="F66" s="18"/>
    </row>
    <row r="67" customFormat="false" ht="13.5" hidden="false" customHeight="true" outlineLevel="0" collapsed="false">
      <c r="B67" s="18" t="s">
        <v>160</v>
      </c>
      <c r="C67" s="18"/>
      <c r="D67" s="18"/>
      <c r="E67" s="18"/>
      <c r="F67" s="18"/>
    </row>
  </sheetData>
  <mergeCells count="11"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38"/>
    <col collapsed="false" customWidth="true" hidden="false" outlineLevel="0" max="9" min="3" style="19" width="14"/>
  </cols>
  <sheetData>
    <row r="1" customFormat="false" ht="24" hidden="false" customHeight="true" outlineLevel="0" collapsed="false">
      <c r="B1" s="20" t="s">
        <v>161</v>
      </c>
    </row>
    <row r="2" customFormat="false" ht="15" hidden="false" customHeight="true" outlineLevel="0" collapsed="false">
      <c r="B2" s="21" t="s">
        <v>162</v>
      </c>
    </row>
    <row r="3" customFormat="false" ht="15" hidden="false" customHeight="true" outlineLevel="0" collapsed="false">
      <c r="B3" s="22" t="s">
        <v>163</v>
      </c>
    </row>
    <row r="5" customFormat="false" ht="19.5" hidden="false" customHeight="true" outlineLevel="0" collapsed="false">
      <c r="B5" s="23" t="s">
        <v>164</v>
      </c>
      <c r="C5" s="23" t="s">
        <v>165</v>
      </c>
      <c r="D5" s="24" t="s">
        <v>166</v>
      </c>
      <c r="E5" s="24" t="s">
        <v>167</v>
      </c>
      <c r="F5" s="24" t="s">
        <v>168</v>
      </c>
      <c r="G5" s="24" t="s">
        <v>169</v>
      </c>
      <c r="H5" s="24" t="s">
        <v>170</v>
      </c>
      <c r="I5" s="24" t="s">
        <v>171</v>
      </c>
    </row>
    <row r="6" customFormat="false" ht="15" hidden="false" customHeight="true" outlineLevel="0" collapsed="false">
      <c r="B6" s="25" t="s">
        <v>172</v>
      </c>
      <c r="C6" s="26"/>
      <c r="D6" s="26"/>
      <c r="E6" s="26"/>
      <c r="F6" s="26"/>
      <c r="G6" s="26"/>
      <c r="H6" s="26"/>
      <c r="I6" s="26"/>
    </row>
    <row r="7" customFormat="false" ht="15" hidden="false" customHeight="true" outlineLevel="0" collapsed="false">
      <c r="B7" s="27" t="s">
        <v>173</v>
      </c>
      <c r="C7" s="28" t="s">
        <v>174</v>
      </c>
      <c r="D7" s="29" t="s">
        <v>175</v>
      </c>
      <c r="E7" s="30" t="n">
        <v>0.08</v>
      </c>
      <c r="F7" s="30" t="n">
        <v>0.12</v>
      </c>
      <c r="G7" s="30" t="n">
        <v>0.1</v>
      </c>
      <c r="H7" s="30" t="n">
        <v>0.09</v>
      </c>
      <c r="I7" s="30" t="n">
        <v>0.08</v>
      </c>
    </row>
    <row r="8" customFormat="false" ht="15" hidden="false" customHeight="true" outlineLevel="0" collapsed="false">
      <c r="B8" s="27" t="s">
        <v>176</v>
      </c>
      <c r="C8" s="28" t="s">
        <v>177</v>
      </c>
      <c r="D8" s="30" t="n">
        <v>0.52</v>
      </c>
      <c r="E8" s="30" t="n">
        <v>0.54</v>
      </c>
      <c r="F8" s="30" t="n">
        <v>0.55</v>
      </c>
      <c r="G8" s="30" t="n">
        <v>0.56</v>
      </c>
      <c r="H8" s="30" t="n">
        <v>0.57</v>
      </c>
      <c r="I8" s="30" t="n">
        <v>0.57</v>
      </c>
    </row>
    <row r="9" customFormat="false" ht="15" hidden="false" customHeight="true" outlineLevel="0" collapsed="false">
      <c r="D9" s="31" t="s">
        <v>178</v>
      </c>
      <c r="E9" s="32" t="n">
        <v>274515</v>
      </c>
    </row>
    <row r="11" customFormat="false" ht="15" hidden="false" customHeight="true" outlineLevel="0" collapsed="false">
      <c r="B11" s="25" t="s">
        <v>179</v>
      </c>
      <c r="C11" s="26"/>
      <c r="D11" s="26"/>
      <c r="E11" s="26"/>
      <c r="F11" s="26"/>
      <c r="G11" s="26"/>
      <c r="H11" s="26"/>
      <c r="I11" s="26"/>
    </row>
    <row r="12" customFormat="false" ht="15" hidden="false" customHeight="true" outlineLevel="0" collapsed="false">
      <c r="B12" s="27" t="s">
        <v>180</v>
      </c>
      <c r="C12" s="28" t="s">
        <v>181</v>
      </c>
      <c r="D12" s="30" t="n">
        <v>0.071</v>
      </c>
      <c r="E12" s="30" t="n">
        <v>0.072</v>
      </c>
      <c r="F12" s="30" t="n">
        <v>0.073</v>
      </c>
      <c r="G12" s="30" t="n">
        <v>0.073</v>
      </c>
      <c r="H12" s="30" t="n">
        <v>0.074</v>
      </c>
      <c r="I12" s="30" t="n">
        <v>0.074</v>
      </c>
    </row>
    <row r="13" customFormat="false" ht="15" hidden="false" customHeight="true" outlineLevel="0" collapsed="false">
      <c r="B13" s="27" t="s">
        <v>182</v>
      </c>
      <c r="C13" s="28" t="s">
        <v>183</v>
      </c>
      <c r="D13" s="30" t="n">
        <v>0.069</v>
      </c>
      <c r="E13" s="30" t="n">
        <v>0.068</v>
      </c>
      <c r="F13" s="30" t="n">
        <v>0.067</v>
      </c>
      <c r="G13" s="30" t="n">
        <v>0.067</v>
      </c>
      <c r="H13" s="30" t="n">
        <v>0.066</v>
      </c>
      <c r="I13" s="30" t="n">
        <v>0.066</v>
      </c>
    </row>
    <row r="14" customFormat="false" ht="15" hidden="false" customHeight="true" outlineLevel="0" collapsed="false">
      <c r="B14" s="27" t="s">
        <v>184</v>
      </c>
      <c r="C14" s="28" t="s">
        <v>185</v>
      </c>
      <c r="D14" s="30" t="n">
        <v>0.04</v>
      </c>
      <c r="E14" s="30" t="n">
        <v>0.04</v>
      </c>
      <c r="F14" s="30" t="n">
        <v>0.039</v>
      </c>
      <c r="G14" s="30" t="n">
        <v>0.039</v>
      </c>
      <c r="H14" s="30" t="n">
        <v>0.038</v>
      </c>
      <c r="I14" s="30" t="n">
        <v>0.038</v>
      </c>
    </row>
    <row r="15" customFormat="false" ht="15" hidden="false" customHeight="true" outlineLevel="0" collapsed="false">
      <c r="B15" s="27" t="s">
        <v>186</v>
      </c>
      <c r="C15" s="28" t="s">
        <v>187</v>
      </c>
      <c r="D15" s="30" t="n">
        <v>0.025</v>
      </c>
      <c r="E15" s="30" t="n">
        <v>0.026</v>
      </c>
      <c r="F15" s="30" t="n">
        <v>0.026</v>
      </c>
      <c r="G15" s="30" t="n">
        <v>0.026</v>
      </c>
      <c r="H15" s="30" t="n">
        <v>0.026</v>
      </c>
      <c r="I15" s="30" t="n">
        <v>0.026</v>
      </c>
    </row>
    <row r="16" customFormat="false" ht="15" hidden="false" customHeight="true" outlineLevel="0" collapsed="false">
      <c r="B16" s="27" t="s">
        <v>188</v>
      </c>
      <c r="C16" s="28" t="s">
        <v>189</v>
      </c>
      <c r="D16" s="30" t="n">
        <v>0.245</v>
      </c>
      <c r="E16" s="30" t="n">
        <v>0.252</v>
      </c>
      <c r="F16" s="30" t="n">
        <v>0.25</v>
      </c>
      <c r="G16" s="30" t="n">
        <v>0.25</v>
      </c>
      <c r="H16" s="30" t="n">
        <v>0.25</v>
      </c>
      <c r="I16" s="30" t="n">
        <v>0.25</v>
      </c>
    </row>
    <row r="18" customFormat="false" ht="15" hidden="false" customHeight="true" outlineLevel="0" collapsed="false">
      <c r="B18" s="25" t="s">
        <v>190</v>
      </c>
      <c r="C18" s="26"/>
      <c r="D18" s="26"/>
      <c r="E18" s="26"/>
      <c r="F18" s="26"/>
      <c r="G18" s="26"/>
      <c r="H18" s="26"/>
      <c r="I18" s="26"/>
    </row>
    <row r="19" customFormat="false" ht="15" hidden="false" customHeight="true" outlineLevel="0" collapsed="false">
      <c r="B19" s="27" t="s">
        <v>191</v>
      </c>
      <c r="C19" s="28" t="s">
        <v>192</v>
      </c>
      <c r="D19" s="33" t="n">
        <v>27</v>
      </c>
      <c r="E19" s="33" t="n">
        <v>27</v>
      </c>
      <c r="F19" s="33" t="n">
        <v>26</v>
      </c>
      <c r="G19" s="33" t="n">
        <v>26</v>
      </c>
      <c r="H19" s="33" t="n">
        <v>25</v>
      </c>
      <c r="I19" s="33" t="n">
        <v>25</v>
      </c>
    </row>
    <row r="20" customFormat="false" ht="15" hidden="false" customHeight="true" outlineLevel="0" collapsed="false">
      <c r="B20" s="27" t="s">
        <v>193</v>
      </c>
      <c r="C20" s="28" t="s">
        <v>194</v>
      </c>
      <c r="D20" s="33" t="n">
        <v>8</v>
      </c>
      <c r="E20" s="33" t="n">
        <v>8</v>
      </c>
      <c r="F20" s="33" t="n">
        <v>7</v>
      </c>
      <c r="G20" s="33" t="n">
        <v>7</v>
      </c>
      <c r="H20" s="33" t="n">
        <v>7</v>
      </c>
      <c r="I20" s="33" t="n">
        <v>7</v>
      </c>
    </row>
    <row r="21" customFormat="false" ht="15" hidden="false" customHeight="true" outlineLevel="0" collapsed="false">
      <c r="B21" s="27" t="s">
        <v>195</v>
      </c>
      <c r="C21" s="28" t="s">
        <v>196</v>
      </c>
      <c r="D21" s="33" t="n">
        <v>73</v>
      </c>
      <c r="E21" s="33" t="n">
        <v>73</v>
      </c>
      <c r="F21" s="33" t="n">
        <v>72</v>
      </c>
      <c r="G21" s="33" t="n">
        <v>72</v>
      </c>
      <c r="H21" s="33" t="n">
        <v>71</v>
      </c>
      <c r="I21" s="33" t="n">
        <v>71</v>
      </c>
    </row>
    <row r="23" customFormat="false" ht="15" hidden="false" customHeight="true" outlineLevel="0" collapsed="false">
      <c r="B23" s="25" t="s">
        <v>197</v>
      </c>
      <c r="C23" s="26"/>
      <c r="D23" s="26"/>
      <c r="E23" s="26"/>
      <c r="F23" s="26"/>
      <c r="G23" s="26"/>
      <c r="H23" s="26"/>
      <c r="I23" s="26"/>
    </row>
    <row r="24" customFormat="false" ht="15" hidden="false" customHeight="true" outlineLevel="0" collapsed="false">
      <c r="B24" s="27" t="s">
        <v>198</v>
      </c>
      <c r="C24" s="28" t="s">
        <v>199</v>
      </c>
      <c r="D24" s="30" t="n">
        <v>0.035</v>
      </c>
      <c r="E24" s="30" t="n">
        <v>0.035</v>
      </c>
      <c r="F24" s="30" t="n">
        <v>0.034</v>
      </c>
      <c r="G24" s="30" t="n">
        <v>0.034</v>
      </c>
      <c r="H24" s="30" t="n">
        <v>0.033</v>
      </c>
      <c r="I24" s="30" t="n">
        <v>0.033</v>
      </c>
    </row>
    <row r="25" customFormat="false" ht="15" hidden="false" customHeight="true" outlineLevel="0" collapsed="false">
      <c r="B25" s="27" t="s">
        <v>200</v>
      </c>
      <c r="C25" s="28" t="s">
        <v>201</v>
      </c>
      <c r="D25" s="30" t="n">
        <v>0.025</v>
      </c>
      <c r="E25" s="30" t="n">
        <v>0.025</v>
      </c>
      <c r="F25" s="30" t="n">
        <v>0.028</v>
      </c>
      <c r="G25" s="30" t="n">
        <v>0.03</v>
      </c>
      <c r="H25" s="30" t="n">
        <v>0.03</v>
      </c>
      <c r="I25" s="30" t="n">
        <v>0.03</v>
      </c>
    </row>
    <row r="26" customFormat="false" ht="15" hidden="false" customHeight="true" outlineLevel="0" collapsed="false">
      <c r="B26" s="27" t="s">
        <v>202</v>
      </c>
      <c r="C26" s="28" t="s">
        <v>203</v>
      </c>
      <c r="D26" s="30" t="n">
        <v>0.21</v>
      </c>
      <c r="E26" s="30" t="n">
        <v>0.22</v>
      </c>
      <c r="F26" s="30" t="n">
        <v>0.22</v>
      </c>
      <c r="G26" s="30" t="n">
        <v>0.22</v>
      </c>
      <c r="H26" s="30" t="n">
        <v>0.23</v>
      </c>
      <c r="I26" s="30" t="n">
        <v>0.23</v>
      </c>
    </row>
    <row r="27" customFormat="false" ht="15" hidden="false" customHeight="true" outlineLevel="0" collapsed="false">
      <c r="B27" s="27" t="s">
        <v>204</v>
      </c>
      <c r="C27" s="28" t="s">
        <v>205</v>
      </c>
      <c r="D27" s="30" t="n">
        <v>0.35</v>
      </c>
      <c r="E27" s="30" t="n">
        <v>0.35</v>
      </c>
      <c r="F27" s="30" t="n">
        <v>0.36</v>
      </c>
      <c r="G27" s="30" t="n">
        <v>0.36</v>
      </c>
      <c r="H27" s="30" t="n">
        <v>0.36</v>
      </c>
      <c r="I27" s="30" t="n">
        <v>0.36</v>
      </c>
    </row>
    <row r="28" customFormat="false" ht="15" hidden="false" customHeight="true" outlineLevel="0" collapsed="false">
      <c r="B28" s="27" t="s">
        <v>206</v>
      </c>
      <c r="C28" s="28" t="s">
        <v>207</v>
      </c>
      <c r="D28" s="32" t="n">
        <v>20000</v>
      </c>
      <c r="E28" s="32" t="n">
        <v>20000</v>
      </c>
      <c r="F28" s="32" t="n">
        <v>20000</v>
      </c>
      <c r="G28" s="32" t="n">
        <v>20000</v>
      </c>
      <c r="H28" s="32" t="n">
        <v>20000</v>
      </c>
      <c r="I28" s="32" t="n">
        <v>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40"/>
    <col collapsed="false" customWidth="true" hidden="false" outlineLevel="0" max="3" min="3" style="19" width="12"/>
    <col collapsed="false" customWidth="true" hidden="false" outlineLevel="0" max="9" min="4" style="19" width="14"/>
  </cols>
  <sheetData>
    <row r="1" customFormat="false" ht="17.25" hidden="false" customHeight="true" outlineLevel="0" collapsed="false">
      <c r="B1" s="20" t="s">
        <v>208</v>
      </c>
    </row>
    <row r="2" customFormat="false" ht="15" hidden="false" customHeight="true" outlineLevel="0" collapsed="false">
      <c r="B2" s="28" t="s">
        <v>209</v>
      </c>
    </row>
    <row r="4" customFormat="false" ht="15" hidden="false" customHeight="true" outlineLevel="0" collapsed="false">
      <c r="B4" s="23" t="s">
        <v>210</v>
      </c>
      <c r="C4" s="34" t="s">
        <v>211</v>
      </c>
      <c r="D4" s="24" t="s">
        <v>166</v>
      </c>
      <c r="E4" s="24" t="s">
        <v>167</v>
      </c>
      <c r="F4" s="24" t="s">
        <v>168</v>
      </c>
      <c r="G4" s="24" t="s">
        <v>169</v>
      </c>
      <c r="H4" s="24" t="s">
        <v>170</v>
      </c>
      <c r="I4" s="24" t="s">
        <v>171</v>
      </c>
    </row>
    <row r="5" customFormat="false" ht="15" hidden="false" customHeight="true" outlineLevel="0" collapsed="false">
      <c r="B5" s="25" t="s">
        <v>212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27" t="s">
        <v>212</v>
      </c>
      <c r="C6" s="28" t="s">
        <v>174</v>
      </c>
      <c r="D6" s="32" t="n">
        <v>274515</v>
      </c>
      <c r="E6" s="32" t="n">
        <v>365817</v>
      </c>
      <c r="F6" s="32" t="n">
        <v>394328</v>
      </c>
      <c r="G6" s="35" t="n">
        <f aca="false">F6*(1+Assumptions!G7)</f>
        <v>433760.8</v>
      </c>
      <c r="H6" s="35" t="n">
        <f aca="false">G6*(1+Assumptions!H7)</f>
        <v>472799.272</v>
      </c>
      <c r="I6" s="35" t="n">
        <f aca="false">H6*(1+Assumptions!I7)</f>
        <v>510623.21376</v>
      </c>
    </row>
    <row r="7" customFormat="false" ht="15" hidden="false" customHeight="true" outlineLevel="0" collapsed="false">
      <c r="B7" s="27" t="s">
        <v>213</v>
      </c>
      <c r="D7" s="29" t="s">
        <v>175</v>
      </c>
      <c r="E7" s="36" t="n">
        <f aca="false">(E6-D6)/D6</f>
        <v>0.332593847330747</v>
      </c>
      <c r="F7" s="36" t="n">
        <f aca="false">(F6-E6)/E6</f>
        <v>0.0779378760418461</v>
      </c>
      <c r="G7" s="36" t="n">
        <f aca="false">(G6-F6)/F6</f>
        <v>0.1</v>
      </c>
      <c r="H7" s="36" t="n">
        <f aca="false">(H6-G6)/G6</f>
        <v>0.0900000000000002</v>
      </c>
      <c r="I7" s="36" t="n">
        <f aca="false">(I6-H6)/H6</f>
        <v>0.08</v>
      </c>
    </row>
    <row r="9" customFormat="false" ht="15" hidden="false" customHeight="true" outlineLevel="0" collapsed="false">
      <c r="B9" s="25" t="s">
        <v>214</v>
      </c>
      <c r="C9" s="26"/>
      <c r="D9" s="26"/>
      <c r="E9" s="26"/>
      <c r="F9" s="26"/>
      <c r="G9" s="26"/>
      <c r="H9" s="26"/>
      <c r="I9" s="26"/>
    </row>
    <row r="10" customFormat="false" ht="15" hidden="false" customHeight="true" outlineLevel="0" collapsed="false">
      <c r="B10" s="27" t="s">
        <v>215</v>
      </c>
      <c r="C10" s="28" t="s">
        <v>177</v>
      </c>
      <c r="D10" s="32" t="n">
        <v>169559</v>
      </c>
      <c r="E10" s="32" t="n">
        <v>212981</v>
      </c>
      <c r="F10" s="32" t="n">
        <v>223546</v>
      </c>
      <c r="G10" s="35" t="n">
        <f aca="false">G6*(1-Assumptions!G8)</f>
        <v>190854.752</v>
      </c>
      <c r="H10" s="35" t="n">
        <f aca="false">H6*(1-Assumptions!H8)</f>
        <v>203303.68696</v>
      </c>
      <c r="I10" s="35" t="n">
        <f aca="false">I6*(1-Assumptions!I8)</f>
        <v>219567.9819168</v>
      </c>
    </row>
    <row r="11" customFormat="false" ht="15" hidden="false" customHeight="true" outlineLevel="0" collapsed="false">
      <c r="B11" s="27" t="s">
        <v>216</v>
      </c>
      <c r="D11" s="37" t="n">
        <f aca="false">D6-D10</f>
        <v>104956</v>
      </c>
      <c r="E11" s="37" t="n">
        <f aca="false">E6-E10</f>
        <v>152836</v>
      </c>
      <c r="F11" s="37" t="n">
        <f aca="false">F6-F10</f>
        <v>170782</v>
      </c>
      <c r="G11" s="37" t="n">
        <f aca="false">G6-G10</f>
        <v>242906.048</v>
      </c>
      <c r="H11" s="37" t="n">
        <f aca="false">H6-H10</f>
        <v>269495.58504</v>
      </c>
      <c r="I11" s="37" t="n">
        <f aca="false">I6-I10</f>
        <v>291055.2318432</v>
      </c>
    </row>
    <row r="12" customFormat="false" ht="15" hidden="false" customHeight="true" outlineLevel="0" collapsed="false">
      <c r="B12" s="27" t="s">
        <v>217</v>
      </c>
      <c r="D12" s="36" t="n">
        <f aca="false">D11/D6</f>
        <v>0.382332477278109</v>
      </c>
      <c r="E12" s="36" t="n">
        <f aca="false">E11/E6</f>
        <v>0.417793596251678</v>
      </c>
      <c r="F12" s="36" t="n">
        <f aca="false">F11/F6</f>
        <v>0.433096305613601</v>
      </c>
      <c r="G12" s="36" t="n">
        <f aca="false">G11/G6</f>
        <v>0.56</v>
      </c>
      <c r="H12" s="36" t="n">
        <f aca="false">H11/H6</f>
        <v>0.57</v>
      </c>
      <c r="I12" s="36" t="n">
        <f aca="false">I11/I6</f>
        <v>0.57</v>
      </c>
    </row>
    <row r="14" customFormat="false" ht="15" hidden="false" customHeight="true" outlineLevel="0" collapsed="false">
      <c r="B14" s="25" t="s">
        <v>218</v>
      </c>
      <c r="C14" s="26"/>
      <c r="D14" s="26"/>
      <c r="E14" s="26"/>
      <c r="F14" s="26"/>
      <c r="G14" s="26"/>
      <c r="H14" s="26"/>
      <c r="I14" s="26"/>
    </row>
    <row r="15" customFormat="false" ht="15" hidden="false" customHeight="true" outlineLevel="0" collapsed="false">
      <c r="B15" s="27" t="s">
        <v>219</v>
      </c>
      <c r="C15" s="28" t="s">
        <v>181</v>
      </c>
      <c r="D15" s="32" t="n">
        <v>18752</v>
      </c>
      <c r="E15" s="32" t="n">
        <v>21914</v>
      </c>
      <c r="F15" s="32" t="n">
        <v>26251</v>
      </c>
      <c r="G15" s="35" t="n">
        <f aca="false">G6*Assumptions!G12</f>
        <v>31664.5384</v>
      </c>
      <c r="H15" s="35" t="n">
        <f aca="false">H6*Assumptions!H12</f>
        <v>34987.146128</v>
      </c>
      <c r="I15" s="35" t="n">
        <f aca="false">I6*Assumptions!I12</f>
        <v>37786.11781824</v>
      </c>
    </row>
    <row r="16" customFormat="false" ht="15" hidden="false" customHeight="true" outlineLevel="0" collapsed="false">
      <c r="B16" s="27" t="s">
        <v>220</v>
      </c>
      <c r="C16" s="28" t="s">
        <v>183</v>
      </c>
      <c r="D16" s="32" t="n">
        <v>19916</v>
      </c>
      <c r="E16" s="32" t="n">
        <v>21973</v>
      </c>
      <c r="F16" s="32" t="n">
        <v>25094</v>
      </c>
      <c r="G16" s="35" t="n">
        <f aca="false">G6*Assumptions!G13</f>
        <v>29061.9736</v>
      </c>
      <c r="H16" s="35" t="n">
        <f aca="false">H6*Assumptions!H13</f>
        <v>31204.751952</v>
      </c>
      <c r="I16" s="35" t="n">
        <f aca="false">I6*Assumptions!I13</f>
        <v>33701.13210816</v>
      </c>
    </row>
    <row r="17" customFormat="false" ht="15" hidden="false" customHeight="true" outlineLevel="0" collapsed="false">
      <c r="B17" s="27" t="s">
        <v>221</v>
      </c>
      <c r="C17" s="28" t="s">
        <v>185</v>
      </c>
      <c r="D17" s="32" t="n">
        <v>11056</v>
      </c>
      <c r="E17" s="32" t="n">
        <v>11284</v>
      </c>
      <c r="F17" s="32" t="n">
        <v>11104</v>
      </c>
      <c r="G17" s="35" t="n">
        <f aca="false">G6*Assumptions!G14</f>
        <v>16916.6712</v>
      </c>
      <c r="H17" s="35" t="n">
        <f aca="false">H6*Assumptions!H14</f>
        <v>17966.372336</v>
      </c>
      <c r="I17" s="35" t="n">
        <f aca="false">I6*Assumptions!I14</f>
        <v>19403.68212288</v>
      </c>
    </row>
    <row r="18" customFormat="false" ht="15" hidden="false" customHeight="true" outlineLevel="0" collapsed="false">
      <c r="B18" s="27" t="s">
        <v>222</v>
      </c>
      <c r="D18" s="38" t="n">
        <f aca="false">SUM(D15:D17)</f>
        <v>49724</v>
      </c>
      <c r="E18" s="38" t="n">
        <f aca="false">SUM(E15:E17)</f>
        <v>55171</v>
      </c>
      <c r="F18" s="38" t="n">
        <f aca="false">SUM(F15:F17)</f>
        <v>62449</v>
      </c>
      <c r="G18" s="38" t="n">
        <f aca="false">SUM(G15:G17)</f>
        <v>77643.1832</v>
      </c>
      <c r="H18" s="38" t="n">
        <f aca="false">SUM(H15:H17)</f>
        <v>84158.270416</v>
      </c>
      <c r="I18" s="38" t="n">
        <f aca="false">SUM(I15:I17)</f>
        <v>90890.93204928</v>
      </c>
    </row>
    <row r="20" customFormat="false" ht="15" hidden="false" customHeight="true" outlineLevel="0" collapsed="false">
      <c r="B20" s="25" t="s">
        <v>223</v>
      </c>
      <c r="C20" s="26"/>
      <c r="D20" s="26"/>
      <c r="E20" s="26"/>
      <c r="F20" s="26"/>
      <c r="G20" s="26"/>
      <c r="H20" s="26"/>
      <c r="I20" s="26"/>
    </row>
    <row r="21" customFormat="false" ht="15" hidden="false" customHeight="true" outlineLevel="0" collapsed="false">
      <c r="B21" s="27" t="s">
        <v>224</v>
      </c>
      <c r="D21" s="38" t="n">
        <f aca="false">D11-D18</f>
        <v>55232</v>
      </c>
      <c r="E21" s="38" t="n">
        <f aca="false">E11-E18</f>
        <v>97665</v>
      </c>
      <c r="F21" s="38" t="n">
        <f aca="false">F11-F18</f>
        <v>108333</v>
      </c>
      <c r="G21" s="38" t="n">
        <f aca="false">G11-G18</f>
        <v>165262.8648</v>
      </c>
      <c r="H21" s="38" t="n">
        <f aca="false">H11-H18</f>
        <v>185337.314624</v>
      </c>
      <c r="I21" s="38" t="n">
        <f aca="false">I11-I18</f>
        <v>200164.29979392</v>
      </c>
    </row>
    <row r="22" customFormat="false" ht="15" hidden="false" customHeight="true" outlineLevel="0" collapsed="false">
      <c r="B22" s="27" t="s">
        <v>225</v>
      </c>
      <c r="D22" s="36" t="n">
        <f aca="false">D21/D6</f>
        <v>0.201198477314537</v>
      </c>
      <c r="E22" s="36" t="n">
        <f aca="false">E21/E6</f>
        <v>0.266977751170667</v>
      </c>
      <c r="F22" s="36" t="n">
        <f aca="false">F21/F6</f>
        <v>0.274728145097482</v>
      </c>
      <c r="G22" s="36" t="n">
        <f aca="false">G21/G6</f>
        <v>0.381</v>
      </c>
      <c r="H22" s="36" t="n">
        <f aca="false">H21/H6</f>
        <v>0.392</v>
      </c>
      <c r="I22" s="36" t="n">
        <f aca="false">I21/I6</f>
        <v>0.392</v>
      </c>
    </row>
    <row r="23" customFormat="false" ht="15" hidden="false" customHeight="true" outlineLevel="0" collapsed="false">
      <c r="B23" s="27" t="s">
        <v>226</v>
      </c>
      <c r="D23" s="35" t="n">
        <f aca="false">D21+D17</f>
        <v>66288</v>
      </c>
      <c r="E23" s="35" t="n">
        <f aca="false">E21+E17</f>
        <v>108949</v>
      </c>
      <c r="F23" s="35" t="n">
        <f aca="false">F21+F17</f>
        <v>119437</v>
      </c>
      <c r="G23" s="35" t="n">
        <f aca="false">G21+G17</f>
        <v>182179.536</v>
      </c>
      <c r="H23" s="35" t="n">
        <f aca="false">H21+H17</f>
        <v>203303.68696</v>
      </c>
      <c r="I23" s="35" t="n">
        <f aca="false">I21+I17</f>
        <v>219567.9819168</v>
      </c>
    </row>
    <row r="24" customFormat="false" ht="15" hidden="false" customHeight="true" outlineLevel="0" collapsed="false">
      <c r="B24" s="27" t="s">
        <v>227</v>
      </c>
      <c r="D24" s="36" t="n">
        <f aca="false">D23/D6</f>
        <v>0.241473143544069</v>
      </c>
      <c r="E24" s="36" t="n">
        <f aca="false">E23/E6</f>
        <v>0.297823775275616</v>
      </c>
      <c r="F24" s="36" t="n">
        <f aca="false">F23/F6</f>
        <v>0.302887443955286</v>
      </c>
      <c r="G24" s="36" t="n">
        <f aca="false">G23/G6</f>
        <v>0.42</v>
      </c>
      <c r="H24" s="36" t="n">
        <f aca="false">H23/H6</f>
        <v>0.43</v>
      </c>
      <c r="I24" s="36" t="n">
        <f aca="false">I23/I6</f>
        <v>0.43</v>
      </c>
    </row>
    <row r="26" customFormat="false" ht="15" hidden="false" customHeight="true" outlineLevel="0" collapsed="false">
      <c r="B26" s="25" t="s">
        <v>228</v>
      </c>
      <c r="C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B27" s="27" t="s">
        <v>229</v>
      </c>
      <c r="C27" s="28" t="s">
        <v>201</v>
      </c>
      <c r="D27" s="32" t="n">
        <v>3576</v>
      </c>
      <c r="E27" s="32" t="n">
        <v>2645</v>
      </c>
      <c r="F27" s="32" t="n">
        <v>2931</v>
      </c>
      <c r="G27" s="35" t="n">
        <f aca="false">F27*(G6/F6)</f>
        <v>3224.1</v>
      </c>
      <c r="H27" s="35" t="n">
        <f aca="false">G27*(H6/G6)</f>
        <v>3514.269</v>
      </c>
      <c r="I27" s="35" t="n">
        <f aca="false">H27*(I6/H6)</f>
        <v>3795.41052</v>
      </c>
    </row>
    <row r="28" customFormat="false" ht="15" hidden="false" customHeight="true" outlineLevel="0" collapsed="false">
      <c r="B28" s="27" t="s">
        <v>230</v>
      </c>
      <c r="D28" s="38" t="n">
        <f aca="false">D21-D27</f>
        <v>51656</v>
      </c>
      <c r="E28" s="38" t="n">
        <f aca="false">E21-E27</f>
        <v>95020</v>
      </c>
      <c r="F28" s="38" t="n">
        <f aca="false">F21-F27</f>
        <v>105402</v>
      </c>
      <c r="G28" s="38" t="n">
        <f aca="false">G21-G27</f>
        <v>162038.7648</v>
      </c>
      <c r="H28" s="38" t="n">
        <f aca="false">H21-H27</f>
        <v>181823.045624</v>
      </c>
      <c r="I28" s="38" t="n">
        <f aca="false">I21-I27</f>
        <v>196368.88927392</v>
      </c>
    </row>
    <row r="29" customFormat="false" ht="15" hidden="false" customHeight="true" outlineLevel="0" collapsed="false">
      <c r="B29" s="27" t="s">
        <v>231</v>
      </c>
      <c r="D29" s="35" t="n">
        <f aca="false">D28*Assumptions!D16</f>
        <v>12655.72</v>
      </c>
      <c r="E29" s="35" t="n">
        <f aca="false">E28*Assumptions!E16</f>
        <v>23945.04</v>
      </c>
      <c r="F29" s="35" t="n">
        <f aca="false">F28*Assumptions!F16</f>
        <v>26350.5</v>
      </c>
      <c r="G29" s="35" t="n">
        <f aca="false">G28*Assumptions!G16</f>
        <v>40509.6912</v>
      </c>
      <c r="H29" s="35" t="n">
        <f aca="false">H28*Assumptions!H16</f>
        <v>45455.761406</v>
      </c>
      <c r="I29" s="35" t="n">
        <f aca="false">I28*Assumptions!I16</f>
        <v>49092.22231848</v>
      </c>
    </row>
    <row r="30" customFormat="false" ht="15" hidden="false" customHeight="true" outlineLevel="0" collapsed="false">
      <c r="B30" s="27" t="s">
        <v>232</v>
      </c>
      <c r="D30" s="38" t="n">
        <f aca="false">D28-D29</f>
        <v>39000.28</v>
      </c>
      <c r="E30" s="38" t="n">
        <f aca="false">E28-E29</f>
        <v>71074.96</v>
      </c>
      <c r="F30" s="38" t="n">
        <f aca="false">F28-F29</f>
        <v>79051.5</v>
      </c>
      <c r="G30" s="38" t="n">
        <f aca="false">G28-G29</f>
        <v>121529.0736</v>
      </c>
      <c r="H30" s="38" t="n">
        <f aca="false">H28-H29</f>
        <v>136367.284218</v>
      </c>
      <c r="I30" s="38" t="n">
        <f aca="false">I28-I29</f>
        <v>147276.66695544</v>
      </c>
    </row>
    <row r="31" customFormat="false" ht="15" hidden="false" customHeight="true" outlineLevel="0" collapsed="false">
      <c r="B31" s="27" t="s">
        <v>233</v>
      </c>
      <c r="D31" s="36" t="n">
        <f aca="false">D30/D6</f>
        <v>0.14206975939384</v>
      </c>
      <c r="E31" s="36" t="n">
        <f aca="false">E30/E6</f>
        <v>0.194291025294068</v>
      </c>
      <c r="F31" s="36" t="n">
        <f aca="false">F30/F6</f>
        <v>0.200471434947556</v>
      </c>
      <c r="G31" s="36" t="n">
        <f aca="false">G30/G6</f>
        <v>0.280175326124445</v>
      </c>
      <c r="H31" s="36" t="n">
        <f aca="false">H30/H6</f>
        <v>0.288425326124445</v>
      </c>
      <c r="I31" s="36" t="n">
        <f aca="false">I30/I6</f>
        <v>0.288425326124445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40"/>
    <col collapsed="false" customWidth="true" hidden="false" outlineLevel="0" max="3" min="3" style="19" width="12"/>
    <col collapsed="false" customWidth="true" hidden="false" outlineLevel="0" max="9" min="4" style="19" width="14"/>
  </cols>
  <sheetData>
    <row r="1" customFormat="false" ht="17.25" hidden="false" customHeight="true" outlineLevel="0" collapsed="false">
      <c r="B1" s="20" t="s">
        <v>234</v>
      </c>
    </row>
    <row r="2" customFormat="false" ht="15" hidden="false" customHeight="true" outlineLevel="0" collapsed="false">
      <c r="B2" s="28" t="s">
        <v>209</v>
      </c>
    </row>
    <row r="4" customFormat="false" ht="15" hidden="false" customHeight="true" outlineLevel="0" collapsed="false">
      <c r="B4" s="23" t="s">
        <v>235</v>
      </c>
      <c r="C4" s="34" t="s">
        <v>211</v>
      </c>
      <c r="D4" s="24" t="s">
        <v>166</v>
      </c>
      <c r="E4" s="24" t="s">
        <v>167</v>
      </c>
      <c r="F4" s="24" t="s">
        <v>168</v>
      </c>
      <c r="G4" s="24" t="s">
        <v>169</v>
      </c>
      <c r="H4" s="24" t="s">
        <v>170</v>
      </c>
      <c r="I4" s="24" t="s">
        <v>171</v>
      </c>
    </row>
    <row r="5" customFormat="false" ht="15" hidden="false" customHeight="true" outlineLevel="0" collapsed="false">
      <c r="B5" s="25" t="s">
        <v>236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27" t="s">
        <v>237</v>
      </c>
      <c r="C6" s="28" t="s">
        <v>238</v>
      </c>
      <c r="D6" s="32" t="n">
        <v>38016</v>
      </c>
      <c r="E6" s="32" t="n">
        <v>62639</v>
      </c>
      <c r="F6" s="32" t="n">
        <v>23646</v>
      </c>
      <c r="G6" s="39" t="n">
        <f aca="false">F6+'Cash Flow Statement'!G19</f>
        <v>-8715.44840000001</v>
      </c>
      <c r="H6" s="39" t="n">
        <f aca="false">G6+'Cash Flow Statement'!H19</f>
        <v>-46110.53869668</v>
      </c>
      <c r="I6" s="39" t="n">
        <f aca="false">H6+'Cash Flow Statement'!I19</f>
        <v>-86303.2765770944</v>
      </c>
    </row>
    <row r="7" customFormat="false" ht="15" hidden="false" customHeight="true" outlineLevel="0" collapsed="false">
      <c r="B7" s="27" t="s">
        <v>239</v>
      </c>
      <c r="C7" s="28" t="s">
        <v>192</v>
      </c>
      <c r="D7" s="32" t="n">
        <v>16120</v>
      </c>
      <c r="E7" s="32" t="n">
        <v>26278</v>
      </c>
      <c r="F7" s="32" t="n">
        <v>28184</v>
      </c>
      <c r="G7" s="39" t="n">
        <f aca="false">'Income Statement'!G6/365*Assumptions!G19</f>
        <v>30898.0295890411</v>
      </c>
      <c r="H7" s="39" t="n">
        <f aca="false">'Income Statement'!H6/365*Assumptions!H19</f>
        <v>32383.5117808219</v>
      </c>
      <c r="I7" s="39" t="n">
        <f aca="false">'Income Statement'!I6/365*Assumptions!I19</f>
        <v>34974.1927232877</v>
      </c>
    </row>
    <row r="8" customFormat="false" ht="15" hidden="false" customHeight="true" outlineLevel="0" collapsed="false">
      <c r="B8" s="27" t="s">
        <v>240</v>
      </c>
      <c r="C8" s="28" t="s">
        <v>194</v>
      </c>
      <c r="D8" s="32" t="n">
        <v>4061</v>
      </c>
      <c r="E8" s="32" t="n">
        <v>6580</v>
      </c>
      <c r="F8" s="32" t="n">
        <v>4946</v>
      </c>
      <c r="G8" s="39" t="n">
        <f aca="false">'Income Statement'!G10/365*Assumptions!G20</f>
        <v>3660.22812054795</v>
      </c>
      <c r="H8" s="39" t="n">
        <f aca="false">'Income Statement'!H10/365*Assumptions!H20</f>
        <v>3898.97481841096</v>
      </c>
      <c r="I8" s="39" t="n">
        <f aca="false">'Income Statement'!I10/365*Assumptions!I20</f>
        <v>4210.89280388384</v>
      </c>
    </row>
    <row r="9" customFormat="false" ht="15" hidden="false" customHeight="true" outlineLevel="0" collapsed="false">
      <c r="B9" s="27" t="s">
        <v>241</v>
      </c>
      <c r="C9" s="28" t="s">
        <v>174</v>
      </c>
      <c r="D9" s="32" t="n">
        <v>14111</v>
      </c>
      <c r="E9" s="32" t="n">
        <v>21223</v>
      </c>
      <c r="F9" s="32" t="n">
        <v>16682</v>
      </c>
      <c r="G9" s="35" t="n">
        <f aca="false">F9*('Income Statement'!G6/'Income Statement'!F6)</f>
        <v>18350.2</v>
      </c>
      <c r="H9" s="35" t="n">
        <f aca="false">G9*('Income Statement'!H6/'Income Statement'!G6)</f>
        <v>20001.718</v>
      </c>
      <c r="I9" s="35" t="n">
        <f aca="false">H9*('Income Statement'!I6/'Income Statement'!H6)</f>
        <v>21601.85544</v>
      </c>
    </row>
    <row r="10" customFormat="false" ht="15" hidden="false" customHeight="true" outlineLevel="0" collapsed="false">
      <c r="B10" s="40" t="s">
        <v>242</v>
      </c>
      <c r="C10" s="28" t="s">
        <v>243</v>
      </c>
      <c r="D10" s="38" t="n">
        <f aca="false">SUM(D6:D9)</f>
        <v>72308</v>
      </c>
      <c r="E10" s="38" t="n">
        <f aca="false">SUM(E6:E9)</f>
        <v>116720</v>
      </c>
      <c r="F10" s="38" t="n">
        <f aca="false">SUM(F6:F9)</f>
        <v>73458</v>
      </c>
      <c r="G10" s="38" t="n">
        <f aca="false">SUM(G6:G9)</f>
        <v>44193.009309589</v>
      </c>
      <c r="H10" s="38" t="n">
        <f aca="false">SUM(H6:H9)</f>
        <v>10173.6659025529</v>
      </c>
      <c r="I10" s="38" t="n">
        <f aca="false">SUM(I6:I9)</f>
        <v>-25516.3356099229</v>
      </c>
    </row>
    <row r="12" customFormat="false" ht="15" hidden="false" customHeight="true" outlineLevel="0" collapsed="false">
      <c r="B12" s="25" t="s">
        <v>244</v>
      </c>
      <c r="C12" s="26"/>
      <c r="D12" s="26"/>
      <c r="E12" s="26"/>
      <c r="F12" s="26"/>
      <c r="G12" s="26"/>
      <c r="H12" s="26"/>
      <c r="I12" s="26"/>
    </row>
    <row r="13" customFormat="false" ht="15" hidden="false" customHeight="true" outlineLevel="0" collapsed="false">
      <c r="B13" s="27" t="s">
        <v>245</v>
      </c>
      <c r="C13" s="28" t="s">
        <v>199</v>
      </c>
      <c r="D13" s="32" t="n">
        <v>37378</v>
      </c>
      <c r="E13" s="32" t="n">
        <v>39440</v>
      </c>
      <c r="F13" s="32" t="n">
        <v>42117</v>
      </c>
      <c r="G13" s="39" t="n">
        <f aca="false">F13+'Cash Flow Statement'!G9-'Income Statement'!G17</f>
        <v>140684.976558904</v>
      </c>
      <c r="H13" s="39" t="n">
        <f aca="false">G13+'Cash Flow Statement'!H9-'Income Statement'!H17</f>
        <v>282111.474805507</v>
      </c>
      <c r="I13" s="39" t="n">
        <f aca="false">H13+'Cash Flow Statement'!I9-'Income Statement'!I17</f>
        <v>434382.071119948</v>
      </c>
    </row>
    <row r="14" customFormat="false" ht="15" hidden="false" customHeight="true" outlineLevel="0" collapsed="false">
      <c r="B14" s="27" t="s">
        <v>246</v>
      </c>
      <c r="D14" s="32" t="n">
        <v>32978</v>
      </c>
      <c r="E14" s="32" t="n">
        <v>53876</v>
      </c>
      <c r="F14" s="32" t="n">
        <v>54428</v>
      </c>
      <c r="G14" s="35" t="n">
        <f aca="false">F14*('Income Statement'!G6/'Income Statement'!F6)</f>
        <v>59870.8</v>
      </c>
      <c r="H14" s="35" t="n">
        <f aca="false">G14*('Income Statement'!H6/'Income Statement'!G6)</f>
        <v>65259.172</v>
      </c>
      <c r="I14" s="35" t="n">
        <f aca="false">H14*('Income Statement'!I6/'Income Statement'!H6)</f>
        <v>70479.90576</v>
      </c>
    </row>
    <row r="15" customFormat="false" ht="15" hidden="false" customHeight="true" outlineLevel="0" collapsed="false">
      <c r="B15" s="40" t="s">
        <v>247</v>
      </c>
      <c r="D15" s="38" t="n">
        <f aca="false">SUM(D13:D14)</f>
        <v>70356</v>
      </c>
      <c r="E15" s="38" t="n">
        <f aca="false">SUM(E13:E14)</f>
        <v>93316</v>
      </c>
      <c r="F15" s="38" t="n">
        <f aca="false">SUM(F13:F14)</f>
        <v>96545</v>
      </c>
      <c r="G15" s="38" t="n">
        <f aca="false">SUM(G13:G14)</f>
        <v>200555.776558904</v>
      </c>
      <c r="H15" s="38" t="n">
        <f aca="false">SUM(H13:H14)</f>
        <v>347370.646805507</v>
      </c>
      <c r="I15" s="38" t="n">
        <f aca="false">SUM(I13:I14)</f>
        <v>504861.976879947</v>
      </c>
    </row>
    <row r="17" customFormat="false" ht="15" hidden="false" customHeight="true" outlineLevel="0" collapsed="false">
      <c r="B17" s="41" t="s">
        <v>248</v>
      </c>
      <c r="D17" s="42" t="n">
        <f aca="false">D10+D15</f>
        <v>142664</v>
      </c>
      <c r="E17" s="42" t="n">
        <f aca="false">E10+E15</f>
        <v>210036</v>
      </c>
      <c r="F17" s="42" t="n">
        <f aca="false">F10+F15</f>
        <v>170003</v>
      </c>
      <c r="G17" s="42" t="n">
        <f aca="false">G10+G15</f>
        <v>244748.785868493</v>
      </c>
      <c r="H17" s="42" t="n">
        <f aca="false">H10+H15</f>
        <v>357544.31270806</v>
      </c>
      <c r="I17" s="42" t="n">
        <f aca="false">I10+I15</f>
        <v>479345.641270025</v>
      </c>
    </row>
    <row r="19" customFormat="false" ht="15" hidden="false" customHeight="true" outlineLevel="0" collapsed="false">
      <c r="B19" s="25" t="s">
        <v>249</v>
      </c>
      <c r="C19" s="26"/>
      <c r="D19" s="26"/>
      <c r="E19" s="26"/>
      <c r="F19" s="26"/>
      <c r="G19" s="26"/>
      <c r="H19" s="26"/>
      <c r="I19" s="26"/>
    </row>
    <row r="20" customFormat="false" ht="15" hidden="false" customHeight="true" outlineLevel="0" collapsed="false">
      <c r="B20" s="27" t="s">
        <v>250</v>
      </c>
      <c r="C20" s="28" t="s">
        <v>196</v>
      </c>
      <c r="D20" s="32" t="n">
        <v>42296</v>
      </c>
      <c r="E20" s="32" t="n">
        <v>54763</v>
      </c>
      <c r="F20" s="32" t="n">
        <v>64115</v>
      </c>
      <c r="G20" s="39" t="n">
        <f aca="false">'Income Statement'!G10/365*Assumptions!G21</f>
        <v>37648.0606684932</v>
      </c>
      <c r="H20" s="39" t="n">
        <f aca="false">'Income Statement'!H10/365*Assumptions!H21</f>
        <v>39546.7445867398</v>
      </c>
      <c r="I20" s="39" t="n">
        <f aca="false">'Income Statement'!I10/365*Assumptions!I21</f>
        <v>42710.4841536789</v>
      </c>
    </row>
    <row r="21" customFormat="false" ht="15" hidden="false" customHeight="true" outlineLevel="0" collapsed="false">
      <c r="B21" s="27" t="s">
        <v>251</v>
      </c>
      <c r="D21" s="32" t="n">
        <v>5522</v>
      </c>
      <c r="E21" s="32" t="n">
        <v>7612</v>
      </c>
      <c r="F21" s="32" t="n">
        <v>7912</v>
      </c>
      <c r="G21" s="35" t="n">
        <f aca="false">F21*('Income Statement'!G6/'Income Statement'!F6)</f>
        <v>8703.2</v>
      </c>
      <c r="H21" s="35" t="n">
        <f aca="false">G21*('Income Statement'!H6/'Income Statement'!G6)</f>
        <v>9486.488</v>
      </c>
      <c r="I21" s="35" t="n">
        <f aca="false">H21*('Income Statement'!I6/'Income Statement'!H6)</f>
        <v>10245.40704</v>
      </c>
    </row>
    <row r="22" customFormat="false" ht="15" hidden="false" customHeight="true" outlineLevel="0" collapsed="false">
      <c r="B22" s="27" t="s">
        <v>252</v>
      </c>
      <c r="D22" s="32" t="n">
        <v>27920</v>
      </c>
      <c r="E22" s="32" t="n">
        <v>46236</v>
      </c>
      <c r="F22" s="32" t="n">
        <v>58111</v>
      </c>
      <c r="G22" s="35" t="n">
        <f aca="false">F22*('Income Statement'!G6/'Income Statement'!F6)</f>
        <v>63922.1</v>
      </c>
      <c r="H22" s="35" t="n">
        <f aca="false">G22*('Income Statement'!H6/'Income Statement'!G6)</f>
        <v>69675.089</v>
      </c>
      <c r="I22" s="35" t="n">
        <f aca="false">H22*('Income Statement'!I6/'Income Statement'!H6)</f>
        <v>75249.09612</v>
      </c>
    </row>
    <row r="23" customFormat="false" ht="15" hidden="false" customHeight="true" outlineLevel="0" collapsed="false">
      <c r="B23" s="40" t="s">
        <v>253</v>
      </c>
      <c r="D23" s="38" t="n">
        <f aca="false">SUM(D20:D22)</f>
        <v>75738</v>
      </c>
      <c r="E23" s="38" t="n">
        <f aca="false">SUM(E20:E22)</f>
        <v>108611</v>
      </c>
      <c r="F23" s="38" t="n">
        <f aca="false">SUM(F20:F22)</f>
        <v>130138</v>
      </c>
      <c r="G23" s="38" t="n">
        <f aca="false">SUM(G20:G22)</f>
        <v>110273.360668493</v>
      </c>
      <c r="H23" s="38" t="n">
        <f aca="false">SUM(H20:H22)</f>
        <v>118708.32158674</v>
      </c>
      <c r="I23" s="38" t="n">
        <f aca="false">SUM(I20:I22)</f>
        <v>128204.987313679</v>
      </c>
    </row>
    <row r="25" customFormat="false" ht="15" hidden="false" customHeight="true" outlineLevel="0" collapsed="false">
      <c r="B25" s="25" t="s">
        <v>254</v>
      </c>
      <c r="C25" s="26"/>
      <c r="D25" s="26"/>
      <c r="E25" s="26"/>
      <c r="F25" s="26"/>
      <c r="G25" s="26"/>
      <c r="H25" s="26"/>
      <c r="I25" s="26"/>
    </row>
    <row r="26" customFormat="false" ht="15" hidden="false" customHeight="true" outlineLevel="0" collapsed="false">
      <c r="B26" s="27" t="s">
        <v>255</v>
      </c>
      <c r="D26" s="32" t="n">
        <v>98667</v>
      </c>
      <c r="E26" s="32" t="n">
        <v>109106</v>
      </c>
      <c r="F26" s="32" t="n">
        <v>98959</v>
      </c>
      <c r="G26" s="32" t="n">
        <f aca="false">F26*0.98</f>
        <v>96979.82</v>
      </c>
      <c r="H26" s="32" t="n">
        <f aca="false">G26*0.98</f>
        <v>95040.2236</v>
      </c>
      <c r="I26" s="32" t="n">
        <f aca="false">H26*0.98</f>
        <v>93139.419128</v>
      </c>
    </row>
    <row r="27" customFormat="false" ht="15" hidden="false" customHeight="true" outlineLevel="0" collapsed="false">
      <c r="B27" s="27" t="s">
        <v>256</v>
      </c>
      <c r="D27" s="32" t="n">
        <v>54490</v>
      </c>
      <c r="E27" s="32" t="n">
        <v>53377</v>
      </c>
      <c r="F27" s="32" t="n">
        <v>49142</v>
      </c>
      <c r="G27" s="35" t="n">
        <f aca="false">F27*('Income Statement'!G6/'Income Statement'!F6)</f>
        <v>54056.2</v>
      </c>
      <c r="H27" s="35" t="n">
        <f aca="false">G27*('Income Statement'!H6/'Income Statement'!G6)</f>
        <v>58921.258</v>
      </c>
      <c r="I27" s="35" t="n">
        <f aca="false">H27*('Income Statement'!I6/'Income Statement'!H6)</f>
        <v>63634.95864</v>
      </c>
    </row>
    <row r="28" customFormat="false" ht="15" hidden="false" customHeight="true" outlineLevel="0" collapsed="false">
      <c r="B28" s="40" t="s">
        <v>257</v>
      </c>
      <c r="D28" s="38" t="n">
        <f aca="false">SUM(D26:D27)</f>
        <v>153157</v>
      </c>
      <c r="E28" s="38" t="n">
        <f aca="false">SUM(E26:E27)</f>
        <v>162483</v>
      </c>
      <c r="F28" s="38" t="n">
        <f aca="false">SUM(F26:F27)</f>
        <v>148101</v>
      </c>
      <c r="G28" s="38" t="n">
        <f aca="false">SUM(G26:G27)</f>
        <v>151036.02</v>
      </c>
      <c r="H28" s="38" t="n">
        <f aca="false">SUM(H26:H27)</f>
        <v>153961.4816</v>
      </c>
      <c r="I28" s="38" t="n">
        <f aca="false">SUM(I26:I27)</f>
        <v>156774.377768</v>
      </c>
    </row>
    <row r="30" customFormat="false" ht="15" hidden="false" customHeight="true" outlineLevel="0" collapsed="false">
      <c r="B30" s="41" t="s">
        <v>258</v>
      </c>
      <c r="D30" s="42" t="n">
        <f aca="false">D23+D28</f>
        <v>228895</v>
      </c>
      <c r="E30" s="42" t="n">
        <f aca="false">E23+E28</f>
        <v>271094</v>
      </c>
      <c r="F30" s="42" t="n">
        <f aca="false">F23+F28</f>
        <v>278239</v>
      </c>
      <c r="G30" s="42" t="n">
        <f aca="false">G23+G28</f>
        <v>261309.380668493</v>
      </c>
      <c r="H30" s="42" t="n">
        <f aca="false">H23+H28</f>
        <v>272669.80318674</v>
      </c>
      <c r="I30" s="42" t="n">
        <f aca="false">I23+I28</f>
        <v>284979.365081679</v>
      </c>
    </row>
    <row r="32" customFormat="false" ht="15" hidden="false" customHeight="true" outlineLevel="0" collapsed="false">
      <c r="B32" s="25" t="s">
        <v>259</v>
      </c>
      <c r="C32" s="26"/>
      <c r="D32" s="26"/>
      <c r="E32" s="26"/>
      <c r="F32" s="26"/>
      <c r="G32" s="26"/>
      <c r="H32" s="26"/>
      <c r="I32" s="26"/>
    </row>
    <row r="33" customFormat="false" ht="15" hidden="false" customHeight="true" outlineLevel="0" collapsed="false">
      <c r="B33" s="27" t="s">
        <v>260</v>
      </c>
      <c r="D33" s="32" t="n">
        <v>65340</v>
      </c>
      <c r="E33" s="32" t="n">
        <v>57365</v>
      </c>
      <c r="F33" s="32" t="n">
        <v>64849</v>
      </c>
      <c r="G33" s="35" t="n">
        <f aca="false">F33</f>
        <v>64849</v>
      </c>
      <c r="H33" s="35" t="n">
        <f aca="false">G33</f>
        <v>64849</v>
      </c>
      <c r="I33" s="35" t="n">
        <f aca="false">H33</f>
        <v>64849</v>
      </c>
    </row>
    <row r="34" customFormat="false" ht="15" hidden="false" customHeight="true" outlineLevel="0" collapsed="false">
      <c r="B34" s="27" t="s">
        <v>261</v>
      </c>
      <c r="D34" s="32" t="n">
        <v>-3068</v>
      </c>
      <c r="E34" s="32" t="n">
        <v>5562</v>
      </c>
      <c r="F34" s="32" t="n">
        <v>-3068</v>
      </c>
      <c r="G34" s="39" t="n">
        <f aca="false">F34+'Income Statement'!G30-'Cash Flow Statement'!G14-'Cash Flow Statement'!G15</f>
        <v>118461.0736</v>
      </c>
      <c r="H34" s="39" t="n">
        <f aca="false">G34+'Income Statement'!H30-'Cash Flow Statement'!H14-'Cash Flow Statement'!H15</f>
        <v>254828.357818</v>
      </c>
      <c r="I34" s="39" t="n">
        <f aca="false">H34+'Income Statement'!I30-'Cash Flow Statement'!I14-'Cash Flow Statement'!I15</f>
        <v>402105.02477344</v>
      </c>
    </row>
    <row r="35" customFormat="false" ht="15" hidden="false" customHeight="true" outlineLevel="0" collapsed="false">
      <c r="B35" s="27" t="s">
        <v>262</v>
      </c>
      <c r="D35" s="32" t="n">
        <v>-406</v>
      </c>
      <c r="E35" s="32" t="n">
        <v>-1776</v>
      </c>
      <c r="F35" s="32" t="n">
        <v>-11109</v>
      </c>
      <c r="G35" s="35" t="n">
        <f aca="false">F35</f>
        <v>-11109</v>
      </c>
      <c r="H35" s="35" t="n">
        <f aca="false">G35</f>
        <v>-11109</v>
      </c>
      <c r="I35" s="35" t="n">
        <f aca="false">H35</f>
        <v>-11109</v>
      </c>
    </row>
    <row r="36" customFormat="false" ht="15" hidden="false" customHeight="true" outlineLevel="0" collapsed="false">
      <c r="B36" s="40" t="s">
        <v>263</v>
      </c>
      <c r="D36" s="38" t="n">
        <f aca="false">SUM(D33:D35)</f>
        <v>61866</v>
      </c>
      <c r="E36" s="38" t="n">
        <f aca="false">SUM(E33:E35)</f>
        <v>61151</v>
      </c>
      <c r="F36" s="38" t="n">
        <f aca="false">SUM(F33:F35)</f>
        <v>50672</v>
      </c>
      <c r="G36" s="38" t="n">
        <f aca="false">SUM(G33:G35)</f>
        <v>172201.0736</v>
      </c>
      <c r="H36" s="38" t="n">
        <f aca="false">SUM(H33:H35)</f>
        <v>308568.357818</v>
      </c>
      <c r="I36" s="38" t="n">
        <f aca="false">SUM(I33:I35)</f>
        <v>455845.02477344</v>
      </c>
    </row>
    <row r="38" customFormat="false" ht="15" hidden="false" customHeight="true" outlineLevel="0" collapsed="false">
      <c r="B38" s="41" t="s">
        <v>264</v>
      </c>
      <c r="D38" s="42" t="n">
        <f aca="false">D30+D36</f>
        <v>290761</v>
      </c>
      <c r="E38" s="42" t="n">
        <f aca="false">E30+E36</f>
        <v>332245</v>
      </c>
      <c r="F38" s="42" t="n">
        <f aca="false">F30+F36</f>
        <v>328911</v>
      </c>
      <c r="G38" s="42" t="n">
        <f aca="false">G30+G36</f>
        <v>433510.454268493</v>
      </c>
      <c r="H38" s="42" t="n">
        <f aca="false">H30+H36</f>
        <v>581238.16100474</v>
      </c>
      <c r="I38" s="42" t="n">
        <f aca="false">I30+I36</f>
        <v>740824.389855119</v>
      </c>
    </row>
    <row r="40" customFormat="false" ht="15" hidden="false" customHeight="true" outlineLevel="0" collapsed="false">
      <c r="B40" s="43" t="s">
        <v>265</v>
      </c>
      <c r="D40" s="44" t="n">
        <f aca="false">D17-D38</f>
        <v>-148097</v>
      </c>
      <c r="E40" s="44" t="n">
        <f aca="false">E17-E38</f>
        <v>-122209</v>
      </c>
      <c r="F40" s="44" t="n">
        <f aca="false">F17-F38</f>
        <v>-158908</v>
      </c>
      <c r="G40" s="44" t="n">
        <f aca="false">G17-G38</f>
        <v>-188761.6684</v>
      </c>
      <c r="H40" s="44" t="n">
        <f aca="false">H17-H38</f>
        <v>-223693.84829668</v>
      </c>
      <c r="I40" s="44" t="n">
        <f aca="false">I17-I38</f>
        <v>-261478.748585094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40"/>
    <col collapsed="false" customWidth="true" hidden="false" outlineLevel="0" max="3" min="3" style="19" width="12"/>
    <col collapsed="false" customWidth="true" hidden="false" outlineLevel="0" max="9" min="4" style="19" width="14"/>
  </cols>
  <sheetData>
    <row r="1" customFormat="false" ht="17.25" hidden="false" customHeight="true" outlineLevel="0" collapsed="false">
      <c r="B1" s="20" t="s">
        <v>266</v>
      </c>
    </row>
    <row r="2" customFormat="false" ht="15" hidden="false" customHeight="true" outlineLevel="0" collapsed="false">
      <c r="B2" s="28" t="s">
        <v>209</v>
      </c>
    </row>
    <row r="4" customFormat="false" ht="15" hidden="false" customHeight="true" outlineLevel="0" collapsed="false">
      <c r="B4" s="23" t="s">
        <v>267</v>
      </c>
      <c r="C4" s="34" t="s">
        <v>211</v>
      </c>
      <c r="D4" s="24" t="s">
        <v>166</v>
      </c>
      <c r="E4" s="24" t="s">
        <v>167</v>
      </c>
      <c r="F4" s="24" t="s">
        <v>168</v>
      </c>
      <c r="G4" s="24" t="s">
        <v>169</v>
      </c>
      <c r="H4" s="24" t="s">
        <v>170</v>
      </c>
      <c r="I4" s="24" t="s">
        <v>171</v>
      </c>
    </row>
    <row r="5" customFormat="false" ht="15" hidden="false" customHeight="true" outlineLevel="0" collapsed="false">
      <c r="B5" s="25" t="s">
        <v>268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27" t="s">
        <v>269</v>
      </c>
      <c r="D6" s="39" t="n">
        <f aca="false">'Income Statement'!D30</f>
        <v>39000.28</v>
      </c>
      <c r="E6" s="39" t="n">
        <f aca="false">'Income Statement'!E30</f>
        <v>71074.96</v>
      </c>
      <c r="F6" s="39" t="n">
        <f aca="false">'Income Statement'!F30</f>
        <v>79051.5</v>
      </c>
      <c r="G6" s="39" t="n">
        <f aca="false">'Income Statement'!G30</f>
        <v>121529.0736</v>
      </c>
      <c r="H6" s="39" t="n">
        <f aca="false">'Income Statement'!H30</f>
        <v>136367.284218</v>
      </c>
      <c r="I6" s="39" t="n">
        <f aca="false">'Income Statement'!I30</f>
        <v>147276.66695544</v>
      </c>
    </row>
    <row r="7" customFormat="false" ht="15" hidden="false" customHeight="true" outlineLevel="0" collapsed="false">
      <c r="B7" s="27" t="s">
        <v>270</v>
      </c>
      <c r="D7" s="39" t="n">
        <f aca="false">'Income Statement'!D17</f>
        <v>11056</v>
      </c>
      <c r="E7" s="39" t="n">
        <f aca="false">'Income Statement'!E17</f>
        <v>11284</v>
      </c>
      <c r="F7" s="39" t="n">
        <f aca="false">'Income Statement'!F17</f>
        <v>11104</v>
      </c>
      <c r="G7" s="39" t="n">
        <f aca="false">'Income Statement'!G17</f>
        <v>16916.6712</v>
      </c>
      <c r="H7" s="39" t="n">
        <f aca="false">'Income Statement'!H17</f>
        <v>17966.372336</v>
      </c>
      <c r="I7" s="39" t="n">
        <f aca="false">'Income Statement'!I17</f>
        <v>19403.68212288</v>
      </c>
    </row>
    <row r="8" customFormat="false" ht="15" hidden="false" customHeight="true" outlineLevel="0" collapsed="false">
      <c r="B8" s="27" t="s">
        <v>271</v>
      </c>
      <c r="D8" s="32" t="n">
        <v>-2452</v>
      </c>
      <c r="E8" s="32" t="n">
        <v>-10809</v>
      </c>
      <c r="F8" s="32" t="n">
        <v>3826</v>
      </c>
      <c r="G8" s="39" t="n">
        <f aca="false">('Balance Sheet'!G23-'Balance Sheet'!F23)-('Balance Sheet'!G7-'Balance Sheet'!F7)-('Balance Sheet'!G8-'Balance Sheet'!F8)-('Balance Sheet'!G9-'Balance Sheet'!F9)</f>
        <v>-22961.0970410959</v>
      </c>
      <c r="H8" s="39" t="n">
        <f aca="false">('Balance Sheet'!H23-'Balance Sheet'!G23)-('Balance Sheet'!H7-'Balance Sheet'!G7)-('Balance Sheet'!H8-'Balance Sheet'!G8)-('Balance Sheet'!H9-'Balance Sheet'!G9)</f>
        <v>5059.21402860275</v>
      </c>
      <c r="I8" s="39" t="n">
        <f aca="false">('Balance Sheet'!I23-'Balance Sheet'!H23)-('Balance Sheet'!I7-'Balance Sheet'!H7)-('Balance Sheet'!I8-'Balance Sheet'!H8)-('Balance Sheet'!I9-'Balance Sheet'!H9)</f>
        <v>4993.92935900056</v>
      </c>
    </row>
    <row r="9" customFormat="false" ht="15" hidden="false" customHeight="true" outlineLevel="0" collapsed="false">
      <c r="B9" s="40" t="s">
        <v>272</v>
      </c>
      <c r="D9" s="38" t="n">
        <f aca="false">SUM(D6:D8)</f>
        <v>47604.28</v>
      </c>
      <c r="E9" s="38" t="n">
        <f aca="false">SUM(E6:E8)</f>
        <v>71549.96</v>
      </c>
      <c r="F9" s="38" t="n">
        <f aca="false">SUM(F6:F8)</f>
        <v>93981.5</v>
      </c>
      <c r="G9" s="38" t="n">
        <f aca="false">SUM(G6:G8)</f>
        <v>115484.647758904</v>
      </c>
      <c r="H9" s="38" t="n">
        <f aca="false">SUM(H6:H8)</f>
        <v>159392.870582603</v>
      </c>
      <c r="I9" s="38" t="n">
        <f aca="false">SUM(I6:I8)</f>
        <v>171674.278437321</v>
      </c>
    </row>
    <row r="11" customFormat="false" ht="15" hidden="false" customHeight="true" outlineLevel="0" collapsed="false">
      <c r="B11" s="25" t="s">
        <v>273</v>
      </c>
      <c r="C11" s="26"/>
      <c r="D11" s="26"/>
      <c r="E11" s="26"/>
      <c r="F11" s="26"/>
      <c r="G11" s="26"/>
      <c r="H11" s="26"/>
      <c r="I11" s="26"/>
    </row>
    <row r="12" customFormat="false" ht="15" hidden="false" customHeight="true" outlineLevel="0" collapsed="false">
      <c r="B12" s="27" t="s">
        <v>274</v>
      </c>
      <c r="D12" s="32" t="n">
        <v>-7309</v>
      </c>
      <c r="E12" s="32" t="n">
        <v>-11085</v>
      </c>
      <c r="F12" s="32" t="n">
        <v>-10708</v>
      </c>
      <c r="G12" s="39" t="n">
        <f aca="false">-('Income Statement'!G6*Assumptions!G24)</f>
        <v>-14747.8672</v>
      </c>
      <c r="H12" s="39" t="n">
        <f aca="false">-('Income Statement'!H6*Assumptions!H24)</f>
        <v>-15602.375976</v>
      </c>
      <c r="I12" s="39" t="n">
        <f aca="false">-('Income Statement'!I6*Assumptions!I24)</f>
        <v>-16850.56605408</v>
      </c>
    </row>
    <row r="13" customFormat="false" ht="15" hidden="false" customHeight="true" outlineLevel="0" collapsed="false">
      <c r="B13" s="40" t="s">
        <v>275</v>
      </c>
      <c r="D13" s="38" t="n">
        <f aca="false">D12</f>
        <v>-7309</v>
      </c>
      <c r="E13" s="38" t="n">
        <f aca="false">E12</f>
        <v>-11085</v>
      </c>
      <c r="F13" s="38" t="n">
        <f aca="false">F12</f>
        <v>-10708</v>
      </c>
      <c r="G13" s="38" t="n">
        <f aca="false">G12</f>
        <v>-14747.8672</v>
      </c>
      <c r="H13" s="38" t="n">
        <f aca="false">H12</f>
        <v>-15602.375976</v>
      </c>
      <c r="I13" s="38" t="n">
        <f aca="false">I12</f>
        <v>-16850.56605408</v>
      </c>
    </row>
    <row r="15" customFormat="false" ht="15" hidden="false" customHeight="true" outlineLevel="0" collapsed="false">
      <c r="B15" s="25" t="s">
        <v>276</v>
      </c>
      <c r="C15" s="26"/>
      <c r="D15" s="26"/>
      <c r="E15" s="26"/>
      <c r="F15" s="26"/>
      <c r="G15" s="26"/>
      <c r="H15" s="26"/>
      <c r="I15" s="26"/>
    </row>
    <row r="16" customFormat="false" ht="15" hidden="false" customHeight="true" outlineLevel="0" collapsed="false">
      <c r="B16" s="27" t="s">
        <v>277</v>
      </c>
      <c r="D16" s="32" t="n">
        <v>-7738</v>
      </c>
      <c r="E16" s="32" t="n">
        <v>12665</v>
      </c>
      <c r="F16" s="32" t="n">
        <v>-9543</v>
      </c>
      <c r="G16" s="39" t="n">
        <f aca="false">-('Balance Sheet'!F26*0.02)</f>
        <v>-1979.18</v>
      </c>
      <c r="H16" s="39" t="n">
        <f aca="false">-('Balance Sheet'!G26*0.02)</f>
        <v>-1939.5964</v>
      </c>
      <c r="I16" s="39" t="n">
        <f aca="false">-('Balance Sheet'!H26*0.02)</f>
        <v>-1900.804472</v>
      </c>
    </row>
    <row r="17" customFormat="false" ht="15" hidden="false" customHeight="true" outlineLevel="0" collapsed="false">
      <c r="B17" s="27" t="s">
        <v>278</v>
      </c>
      <c r="D17" s="32" t="n">
        <v>-14081</v>
      </c>
      <c r="E17" s="32" t="n">
        <v>-14467</v>
      </c>
      <c r="F17" s="32" t="n">
        <v>-14841</v>
      </c>
      <c r="G17" s="39" t="n">
        <f aca="false">-('Income Statement'!G30*Assumptions!G25)</f>
        <v>-3645.872208</v>
      </c>
      <c r="H17" s="39" t="n">
        <f aca="false">-('Income Statement'!H30*Assumptions!H25)</f>
        <v>-4091.01852654</v>
      </c>
      <c r="I17" s="39" t="n">
        <f aca="false">-('Income Statement'!I30*Assumptions!I25)</f>
        <v>-4418.3000086632</v>
      </c>
    </row>
    <row r="18" customFormat="false" ht="15" hidden="false" customHeight="true" outlineLevel="0" collapsed="false">
      <c r="B18" s="27" t="s">
        <v>279</v>
      </c>
      <c r="D18" s="32" t="n">
        <v>-72516</v>
      </c>
      <c r="E18" s="32" t="n">
        <v>-85971</v>
      </c>
      <c r="F18" s="32" t="n">
        <v>-89402</v>
      </c>
      <c r="G18" s="39" t="n">
        <f aca="false">-('Income Statement'!G30*Assumptions!G26)</f>
        <v>-26736.396192</v>
      </c>
      <c r="H18" s="39" t="n">
        <f aca="false">-('Income Statement'!H30*Assumptions!H26)</f>
        <v>-31364.47537014</v>
      </c>
      <c r="I18" s="39" t="n">
        <f aca="false">-('Income Statement'!I30*Assumptions!I26)</f>
        <v>-33873.6333997512</v>
      </c>
    </row>
    <row r="19" customFormat="false" ht="15" hidden="false" customHeight="true" outlineLevel="0" collapsed="false">
      <c r="B19" s="40" t="s">
        <v>280</v>
      </c>
      <c r="D19" s="38" t="n">
        <f aca="false">SUM(D16:D18)</f>
        <v>-94335</v>
      </c>
      <c r="E19" s="38" t="n">
        <f aca="false">SUM(E16:E18)</f>
        <v>-87773</v>
      </c>
      <c r="F19" s="38" t="n">
        <f aca="false">SUM(F16:F18)</f>
        <v>-113786</v>
      </c>
      <c r="G19" s="38" t="n">
        <f aca="false">SUM(G16:G18)</f>
        <v>-32361.4484</v>
      </c>
      <c r="H19" s="38" t="n">
        <f aca="false">SUM(H16:H18)</f>
        <v>-37395.09029668</v>
      </c>
      <c r="I19" s="38" t="n">
        <f aca="false">SUM(I16:I18)</f>
        <v>-40192.7378804144</v>
      </c>
    </row>
    <row r="21" customFormat="false" ht="15" hidden="false" customHeight="true" outlineLevel="0" collapsed="false">
      <c r="B21" s="41" t="s">
        <v>281</v>
      </c>
      <c r="D21" s="42" t="n">
        <f aca="false">D9+D13+D19</f>
        <v>-54039.72</v>
      </c>
      <c r="E21" s="42" t="n">
        <f aca="false">E9+E13+E19</f>
        <v>-27308.04</v>
      </c>
      <c r="F21" s="42" t="n">
        <f aca="false">F9+F13+F19</f>
        <v>-30512.5</v>
      </c>
      <c r="G21" s="42" t="n">
        <f aca="false">G9+G13+G19</f>
        <v>68375.3321589041</v>
      </c>
      <c r="H21" s="42" t="n">
        <f aca="false">H9+H13+H19</f>
        <v>106395.404309923</v>
      </c>
      <c r="I21" s="42" t="n">
        <f aca="false">I9+I13+I19</f>
        <v>114630.974502826</v>
      </c>
    </row>
    <row r="23" customFormat="false" ht="15" hidden="false" customHeight="true" outlineLevel="0" collapsed="false">
      <c r="B23" s="25" t="s">
        <v>282</v>
      </c>
      <c r="C23" s="26"/>
      <c r="D23" s="26"/>
      <c r="E23" s="26"/>
      <c r="F23" s="26"/>
      <c r="G23" s="26"/>
      <c r="H23" s="26"/>
      <c r="I23" s="26"/>
    </row>
    <row r="24" customFormat="false" ht="15" hidden="false" customHeight="true" outlineLevel="0" collapsed="false">
      <c r="B24" s="27" t="s">
        <v>283</v>
      </c>
      <c r="D24" s="39" t="n">
        <f aca="false">'Income Statement'!D23</f>
        <v>66288</v>
      </c>
      <c r="E24" s="39" t="n">
        <f aca="false">'Income Statement'!E23</f>
        <v>108949</v>
      </c>
      <c r="F24" s="39" t="n">
        <f aca="false">'Income Statement'!F23</f>
        <v>119437</v>
      </c>
      <c r="G24" s="39" t="n">
        <f aca="false">'Income Statement'!G23</f>
        <v>182179.536</v>
      </c>
      <c r="H24" s="39" t="n">
        <f aca="false">'Income Statement'!H23</f>
        <v>203303.68696</v>
      </c>
      <c r="I24" s="39" t="n">
        <f aca="false">'Income Statement'!I23</f>
        <v>219567.9819168</v>
      </c>
    </row>
    <row r="25" customFormat="false" ht="15" hidden="false" customHeight="true" outlineLevel="0" collapsed="false">
      <c r="B25" s="27" t="s">
        <v>284</v>
      </c>
      <c r="D25" s="35" t="n">
        <f aca="false">D12</f>
        <v>-7309</v>
      </c>
      <c r="E25" s="35" t="n">
        <f aca="false">E12</f>
        <v>-11085</v>
      </c>
      <c r="F25" s="35" t="n">
        <f aca="false">F12</f>
        <v>-10708</v>
      </c>
      <c r="G25" s="35" t="n">
        <f aca="false">G12</f>
        <v>-14747.8672</v>
      </c>
      <c r="H25" s="35" t="n">
        <f aca="false">H12</f>
        <v>-15602.375976</v>
      </c>
      <c r="I25" s="35" t="n">
        <f aca="false">I12</f>
        <v>-16850.56605408</v>
      </c>
    </row>
    <row r="26" customFormat="false" ht="15" hidden="false" customHeight="true" outlineLevel="0" collapsed="false">
      <c r="B26" s="27" t="s">
        <v>285</v>
      </c>
      <c r="D26" s="35" t="n">
        <f aca="false">D8</f>
        <v>-2452</v>
      </c>
      <c r="E26" s="35" t="n">
        <f aca="false">E8</f>
        <v>-10809</v>
      </c>
      <c r="F26" s="35" t="n">
        <f aca="false">F8</f>
        <v>3826</v>
      </c>
      <c r="G26" s="35" t="n">
        <f aca="false">G8</f>
        <v>-22961.0970410959</v>
      </c>
      <c r="H26" s="35" t="n">
        <f aca="false">H8</f>
        <v>5059.21402860275</v>
      </c>
      <c r="I26" s="35" t="n">
        <f aca="false">I8</f>
        <v>4993.92935900056</v>
      </c>
    </row>
    <row r="27" customFormat="false" ht="15" hidden="false" customHeight="true" outlineLevel="0" collapsed="false">
      <c r="B27" s="27" t="s">
        <v>286</v>
      </c>
      <c r="D27" s="39" t="n">
        <f aca="false">-'Income Statement'!D29</f>
        <v>-12655.72</v>
      </c>
      <c r="E27" s="39" t="n">
        <f aca="false">-'Income Statement'!E29</f>
        <v>-23945.04</v>
      </c>
      <c r="F27" s="39" t="n">
        <f aca="false">-'Income Statement'!F29</f>
        <v>-26350.5</v>
      </c>
      <c r="G27" s="39" t="n">
        <f aca="false">-'Income Statement'!G29</f>
        <v>-40509.6912</v>
      </c>
      <c r="H27" s="39" t="n">
        <f aca="false">-'Income Statement'!H29</f>
        <v>-45455.761406</v>
      </c>
      <c r="I27" s="39" t="n">
        <f aca="false">-'Income Statement'!I29</f>
        <v>-49092.22231848</v>
      </c>
    </row>
    <row r="28" customFormat="false" ht="15" hidden="false" customHeight="true" outlineLevel="0" collapsed="false">
      <c r="B28" s="40" t="s">
        <v>287</v>
      </c>
      <c r="D28" s="38" t="n">
        <f aca="false">SUM(D24:D27)</f>
        <v>43871.28</v>
      </c>
      <c r="E28" s="38" t="n">
        <f aca="false">SUM(E24:E27)</f>
        <v>63109.96</v>
      </c>
      <c r="F28" s="38" t="n">
        <f aca="false">SUM(F24:F27)</f>
        <v>86204.5</v>
      </c>
      <c r="G28" s="38" t="n">
        <f aca="false">SUM(G24:G27)</f>
        <v>103960.880558904</v>
      </c>
      <c r="H28" s="38" t="n">
        <f aca="false">SUM(H24:H27)</f>
        <v>147304.763606603</v>
      </c>
      <c r="I28" s="38" t="n">
        <f aca="false">SUM(I24:I27)</f>
        <v>158619.122903241</v>
      </c>
    </row>
    <row r="29" customFormat="false" ht="15" hidden="false" customHeight="true" outlineLevel="0" collapsed="false">
      <c r="B29" s="27" t="s">
        <v>288</v>
      </c>
      <c r="D29" s="36" t="n">
        <f aca="false">D28/'Income Statement'!D6</f>
        <v>0.159813780667723</v>
      </c>
      <c r="E29" s="36" t="n">
        <f aca="false">E28/'Income Statement'!E6</f>
        <v>0.172517843621264</v>
      </c>
      <c r="F29" s="36" t="n">
        <f aca="false">F28/'Income Statement'!F6</f>
        <v>0.218611156194843</v>
      </c>
      <c r="G29" s="36" t="n">
        <f aca="false">G28/'Income Statement'!G6</f>
        <v>0.239673295878521</v>
      </c>
      <c r="H29" s="36" t="n">
        <f aca="false">H28/'Income Statement'!H6</f>
        <v>0.311558778387042</v>
      </c>
      <c r="I29" s="36" t="n">
        <f aca="false">I28/'Income Statement'!I6</f>
        <v>0.310638291853675</v>
      </c>
    </row>
    <row r="30" customFormat="false" ht="15" hidden="false" customHeight="true" outlineLevel="0" collapsed="false">
      <c r="B30" s="27" t="s">
        <v>289</v>
      </c>
      <c r="D30" s="45" t="n">
        <f aca="false">IF(D24&lt;&gt;0,D28/D24,"-")</f>
        <v>0.661828385228096</v>
      </c>
      <c r="E30" s="45" t="n">
        <f aca="false">IF(E24&lt;&gt;0,E28/E24,"-")</f>
        <v>0.579261489320691</v>
      </c>
      <c r="F30" s="45" t="n">
        <f aca="false">IF(F24&lt;&gt;0,F28/F24,"-")</f>
        <v>0.721757076952703</v>
      </c>
      <c r="G30" s="45" t="n">
        <f aca="false">IF(G24&lt;&gt;0,G28/G24,"-")</f>
        <v>0.57065070447267</v>
      </c>
      <c r="H30" s="45" t="n">
        <f aca="false">IF(H24&lt;&gt;0,H28/H24,"-")</f>
        <v>0.724555298574516</v>
      </c>
      <c r="I30" s="45" t="n">
        <f aca="false">IF(I24&lt;&gt;0,I28/I24,"-")</f>
        <v>0.72241463221785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38"/>
    <col collapsed="false" customWidth="true" hidden="false" outlineLevel="0" max="3" min="3" style="19" width="12"/>
    <col collapsed="false" customWidth="true" hidden="false" outlineLevel="0" max="9" min="4" style="19" width="14"/>
  </cols>
  <sheetData>
    <row r="1" customFormat="false" ht="17.25" hidden="false" customHeight="true" outlineLevel="0" collapsed="false">
      <c r="B1" s="20" t="s">
        <v>290</v>
      </c>
    </row>
    <row r="2" customFormat="false" ht="15" hidden="false" customHeight="true" outlineLevel="0" collapsed="false">
      <c r="B2" s="28" t="s">
        <v>291</v>
      </c>
    </row>
    <row r="4" customFormat="false" ht="15" hidden="false" customHeight="true" outlineLevel="0" collapsed="false">
      <c r="B4" s="23" t="s">
        <v>292</v>
      </c>
      <c r="C4" s="34" t="s">
        <v>293</v>
      </c>
      <c r="D4" s="24" t="s">
        <v>166</v>
      </c>
      <c r="E4" s="24" t="s">
        <v>167</v>
      </c>
      <c r="F4" s="24" t="s">
        <v>168</v>
      </c>
      <c r="G4" s="24" t="s">
        <v>169</v>
      </c>
      <c r="H4" s="24" t="s">
        <v>170</v>
      </c>
      <c r="I4" s="24" t="s">
        <v>171</v>
      </c>
    </row>
    <row r="5" customFormat="false" ht="15" hidden="false" customHeight="true" outlineLevel="0" collapsed="false">
      <c r="B5" s="25" t="s">
        <v>294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40" t="s">
        <v>295</v>
      </c>
      <c r="C6" s="28" t="s">
        <v>296</v>
      </c>
      <c r="D6" s="39" t="n">
        <f aca="false">'Income Statement'!D6</f>
        <v>274515</v>
      </c>
      <c r="E6" s="39" t="n">
        <f aca="false">'Income Statement'!E6</f>
        <v>365817</v>
      </c>
      <c r="F6" s="39" t="n">
        <f aca="false">'Income Statement'!F6</f>
        <v>394328</v>
      </c>
      <c r="G6" s="39" t="n">
        <f aca="false">'Income Statement'!G6</f>
        <v>433760.8</v>
      </c>
      <c r="H6" s="39" t="n">
        <f aca="false">'Income Statement'!H6</f>
        <v>472799.272</v>
      </c>
      <c r="I6" s="39" t="n">
        <f aca="false">'Income Statement'!I6</f>
        <v>510623.21376</v>
      </c>
    </row>
    <row r="7" customFormat="false" ht="15" hidden="false" customHeight="true" outlineLevel="0" collapsed="false">
      <c r="B7" s="27" t="s">
        <v>297</v>
      </c>
      <c r="C7" s="28" t="s">
        <v>296</v>
      </c>
      <c r="D7" s="29" t="s">
        <v>175</v>
      </c>
      <c r="E7" s="46" t="n">
        <f aca="false">'Income Statement'!E7</f>
        <v>0.332593847330747</v>
      </c>
      <c r="F7" s="46" t="n">
        <f aca="false">'Income Statement'!F7</f>
        <v>0.0779378760418461</v>
      </c>
      <c r="G7" s="46" t="n">
        <f aca="false">'Income Statement'!G7</f>
        <v>0.1</v>
      </c>
      <c r="H7" s="46" t="n">
        <f aca="false">'Income Statement'!H7</f>
        <v>0.0900000000000002</v>
      </c>
      <c r="I7" s="46" t="n">
        <f aca="false">'Income Statement'!I7</f>
        <v>0.08</v>
      </c>
    </row>
    <row r="8" customFormat="false" ht="15" hidden="false" customHeight="true" outlineLevel="0" collapsed="false">
      <c r="B8" s="40" t="s">
        <v>298</v>
      </c>
      <c r="C8" s="28" t="s">
        <v>296</v>
      </c>
      <c r="D8" s="39" t="n">
        <f aca="false">'Income Statement'!D11</f>
        <v>104956</v>
      </c>
      <c r="E8" s="39" t="n">
        <f aca="false">'Income Statement'!E11</f>
        <v>152836</v>
      </c>
      <c r="F8" s="39" t="n">
        <f aca="false">'Income Statement'!F11</f>
        <v>170782</v>
      </c>
      <c r="G8" s="39" t="n">
        <f aca="false">'Income Statement'!G11</f>
        <v>242906.048</v>
      </c>
      <c r="H8" s="39" t="n">
        <f aca="false">'Income Statement'!H11</f>
        <v>269495.58504</v>
      </c>
      <c r="I8" s="39" t="n">
        <f aca="false">'Income Statement'!I11</f>
        <v>291055.2318432</v>
      </c>
    </row>
    <row r="9" customFormat="false" ht="15" hidden="false" customHeight="true" outlineLevel="0" collapsed="false">
      <c r="B9" s="27" t="s">
        <v>299</v>
      </c>
      <c r="C9" s="28" t="s">
        <v>296</v>
      </c>
      <c r="D9" s="46" t="n">
        <f aca="false">'Income Statement'!D12</f>
        <v>0.382332477278109</v>
      </c>
      <c r="E9" s="46" t="n">
        <f aca="false">'Income Statement'!E12</f>
        <v>0.417793596251678</v>
      </c>
      <c r="F9" s="46" t="n">
        <f aca="false">'Income Statement'!F12</f>
        <v>0.433096305613601</v>
      </c>
      <c r="G9" s="46" t="n">
        <f aca="false">'Income Statement'!G12</f>
        <v>0.56</v>
      </c>
      <c r="H9" s="46" t="n">
        <f aca="false">'Income Statement'!H12</f>
        <v>0.57</v>
      </c>
      <c r="I9" s="46" t="n">
        <f aca="false">'Income Statement'!I12</f>
        <v>0.57</v>
      </c>
    </row>
    <row r="10" customFormat="false" ht="15" hidden="false" customHeight="true" outlineLevel="0" collapsed="false">
      <c r="B10" s="40" t="s">
        <v>300</v>
      </c>
      <c r="C10" s="28" t="s">
        <v>296</v>
      </c>
      <c r="D10" s="39" t="n">
        <f aca="false">'Income Statement'!D21</f>
        <v>55232</v>
      </c>
      <c r="E10" s="39" t="n">
        <f aca="false">'Income Statement'!E21</f>
        <v>97665</v>
      </c>
      <c r="F10" s="39" t="n">
        <f aca="false">'Income Statement'!F21</f>
        <v>108333</v>
      </c>
      <c r="G10" s="39" t="n">
        <f aca="false">'Income Statement'!G21</f>
        <v>165262.8648</v>
      </c>
      <c r="H10" s="39" t="n">
        <f aca="false">'Income Statement'!H21</f>
        <v>185337.314624</v>
      </c>
      <c r="I10" s="39" t="n">
        <f aca="false">'Income Statement'!I21</f>
        <v>200164.29979392</v>
      </c>
    </row>
    <row r="11" customFormat="false" ht="15" hidden="false" customHeight="true" outlineLevel="0" collapsed="false">
      <c r="B11" s="27" t="s">
        <v>301</v>
      </c>
      <c r="C11" s="28" t="s">
        <v>296</v>
      </c>
      <c r="D11" s="46" t="n">
        <f aca="false">'Income Statement'!D22</f>
        <v>0.201198477314537</v>
      </c>
      <c r="E11" s="46" t="n">
        <f aca="false">'Income Statement'!E22</f>
        <v>0.266977751170667</v>
      </c>
      <c r="F11" s="46" t="n">
        <f aca="false">'Income Statement'!F22</f>
        <v>0.274728145097482</v>
      </c>
      <c r="G11" s="46" t="n">
        <f aca="false">'Income Statement'!G22</f>
        <v>0.381</v>
      </c>
      <c r="H11" s="46" t="n">
        <f aca="false">'Income Statement'!H22</f>
        <v>0.392</v>
      </c>
      <c r="I11" s="46" t="n">
        <f aca="false">'Income Statement'!I22</f>
        <v>0.392</v>
      </c>
    </row>
    <row r="12" customFormat="false" ht="15" hidden="false" customHeight="true" outlineLevel="0" collapsed="false">
      <c r="B12" s="40" t="s">
        <v>302</v>
      </c>
      <c r="C12" s="28" t="s">
        <v>296</v>
      </c>
      <c r="D12" s="39" t="n">
        <f aca="false">'Income Statement'!D23</f>
        <v>66288</v>
      </c>
      <c r="E12" s="39" t="n">
        <f aca="false">'Income Statement'!E23</f>
        <v>108949</v>
      </c>
      <c r="F12" s="39" t="n">
        <f aca="false">'Income Statement'!F23</f>
        <v>119437</v>
      </c>
      <c r="G12" s="39" t="n">
        <f aca="false">'Income Statement'!G23</f>
        <v>182179.536</v>
      </c>
      <c r="H12" s="39" t="n">
        <f aca="false">'Income Statement'!H23</f>
        <v>203303.68696</v>
      </c>
      <c r="I12" s="39" t="n">
        <f aca="false">'Income Statement'!I23</f>
        <v>219567.9819168</v>
      </c>
    </row>
    <row r="13" customFormat="false" ht="15" hidden="false" customHeight="true" outlineLevel="0" collapsed="false">
      <c r="B13" s="27" t="s">
        <v>303</v>
      </c>
      <c r="C13" s="28" t="s">
        <v>296</v>
      </c>
      <c r="D13" s="46" t="n">
        <f aca="false">'Income Statement'!D24</f>
        <v>0.241473143544069</v>
      </c>
      <c r="E13" s="46" t="n">
        <f aca="false">'Income Statement'!E24</f>
        <v>0.297823775275616</v>
      </c>
      <c r="F13" s="46" t="n">
        <f aca="false">'Income Statement'!F24</f>
        <v>0.302887443955286</v>
      </c>
      <c r="G13" s="46" t="n">
        <f aca="false">'Income Statement'!G24</f>
        <v>0.42</v>
      </c>
      <c r="H13" s="46" t="n">
        <f aca="false">'Income Statement'!H24</f>
        <v>0.43</v>
      </c>
      <c r="I13" s="46" t="n">
        <f aca="false">'Income Statement'!I24</f>
        <v>0.43</v>
      </c>
    </row>
    <row r="14" customFormat="false" ht="15" hidden="false" customHeight="true" outlineLevel="0" collapsed="false">
      <c r="B14" s="40" t="s">
        <v>304</v>
      </c>
      <c r="C14" s="28" t="s">
        <v>296</v>
      </c>
      <c r="D14" s="39" t="n">
        <f aca="false">'Income Statement'!D30</f>
        <v>39000.28</v>
      </c>
      <c r="E14" s="39" t="n">
        <f aca="false">'Income Statement'!E30</f>
        <v>71074.96</v>
      </c>
      <c r="F14" s="39" t="n">
        <f aca="false">'Income Statement'!F30</f>
        <v>79051.5</v>
      </c>
      <c r="G14" s="39" t="n">
        <f aca="false">'Income Statement'!G30</f>
        <v>121529.0736</v>
      </c>
      <c r="H14" s="39" t="n">
        <f aca="false">'Income Statement'!H30</f>
        <v>136367.284218</v>
      </c>
      <c r="I14" s="39" t="n">
        <f aca="false">'Income Statement'!I30</f>
        <v>147276.66695544</v>
      </c>
    </row>
    <row r="15" customFormat="false" ht="15" hidden="false" customHeight="true" outlineLevel="0" collapsed="false">
      <c r="B15" s="27" t="s">
        <v>305</v>
      </c>
      <c r="C15" s="28" t="s">
        <v>296</v>
      </c>
      <c r="D15" s="46" t="n">
        <f aca="false">'Income Statement'!D31</f>
        <v>0.14206975939384</v>
      </c>
      <c r="E15" s="46" t="n">
        <f aca="false">'Income Statement'!E31</f>
        <v>0.194291025294068</v>
      </c>
      <c r="F15" s="46" t="n">
        <f aca="false">'Income Statement'!F31</f>
        <v>0.200471434947556</v>
      </c>
      <c r="G15" s="46" t="n">
        <f aca="false">'Income Statement'!G31</f>
        <v>0.280175326124445</v>
      </c>
      <c r="H15" s="46" t="n">
        <f aca="false">'Income Statement'!H31</f>
        <v>0.288425326124445</v>
      </c>
      <c r="I15" s="46" t="n">
        <f aca="false">'Income Statement'!I31</f>
        <v>0.288425326124445</v>
      </c>
    </row>
    <row r="17" customFormat="false" ht="15" hidden="false" customHeight="true" outlineLevel="0" collapsed="false">
      <c r="B17" s="25" t="s">
        <v>306</v>
      </c>
      <c r="C17" s="26"/>
      <c r="D17" s="26"/>
      <c r="E17" s="26"/>
      <c r="F17" s="26"/>
      <c r="G17" s="26"/>
      <c r="H17" s="26"/>
      <c r="I17" s="26"/>
    </row>
    <row r="18" customFormat="false" ht="15" hidden="false" customHeight="true" outlineLevel="0" collapsed="false">
      <c r="B18" s="40" t="s">
        <v>307</v>
      </c>
      <c r="C18" s="28" t="s">
        <v>308</v>
      </c>
      <c r="D18" s="39" t="n">
        <f aca="false">'Cash Flow Statement'!D9</f>
        <v>47604.28</v>
      </c>
      <c r="E18" s="39" t="n">
        <f aca="false">'Cash Flow Statement'!E9</f>
        <v>71549.96</v>
      </c>
      <c r="F18" s="39" t="n">
        <f aca="false">'Cash Flow Statement'!F9</f>
        <v>93981.5</v>
      </c>
      <c r="G18" s="39" t="n">
        <f aca="false">'Cash Flow Statement'!G9</f>
        <v>115484.647758904</v>
      </c>
      <c r="H18" s="39" t="n">
        <f aca="false">'Cash Flow Statement'!H9</f>
        <v>159392.870582603</v>
      </c>
      <c r="I18" s="39" t="n">
        <f aca="false">'Cash Flow Statement'!I9</f>
        <v>171674.278437321</v>
      </c>
    </row>
    <row r="19" customFormat="false" ht="15" hidden="false" customHeight="true" outlineLevel="0" collapsed="false">
      <c r="B19" s="40" t="s">
        <v>309</v>
      </c>
      <c r="C19" s="28" t="s">
        <v>308</v>
      </c>
      <c r="D19" s="39" t="n">
        <f aca="false">'Cash Flow Statement'!D12</f>
        <v>-7309</v>
      </c>
      <c r="E19" s="39" t="n">
        <f aca="false">'Cash Flow Statement'!E12</f>
        <v>-11085</v>
      </c>
      <c r="F19" s="39" t="n">
        <f aca="false">'Cash Flow Statement'!F12</f>
        <v>-10708</v>
      </c>
      <c r="G19" s="39" t="n">
        <f aca="false">'Cash Flow Statement'!G12</f>
        <v>-14747.8672</v>
      </c>
      <c r="H19" s="39" t="n">
        <f aca="false">'Cash Flow Statement'!H12</f>
        <v>-15602.375976</v>
      </c>
      <c r="I19" s="39" t="n">
        <f aca="false">'Cash Flow Statement'!I12</f>
        <v>-16850.56605408</v>
      </c>
    </row>
    <row r="20" customFormat="false" ht="15" hidden="false" customHeight="true" outlineLevel="0" collapsed="false">
      <c r="B20" s="40" t="s">
        <v>310</v>
      </c>
      <c r="C20" s="28" t="s">
        <v>308</v>
      </c>
      <c r="D20" s="39" t="n">
        <f aca="false">'Cash Flow Statement'!D28</f>
        <v>43871.28</v>
      </c>
      <c r="E20" s="39" t="n">
        <f aca="false">'Cash Flow Statement'!E28</f>
        <v>63109.96</v>
      </c>
      <c r="F20" s="39" t="n">
        <f aca="false">'Cash Flow Statement'!F28</f>
        <v>86204.5</v>
      </c>
      <c r="G20" s="39" t="n">
        <f aca="false">'Cash Flow Statement'!G28</f>
        <v>103960.880558904</v>
      </c>
      <c r="H20" s="39" t="n">
        <f aca="false">'Cash Flow Statement'!H28</f>
        <v>147304.763606603</v>
      </c>
      <c r="I20" s="39" t="n">
        <f aca="false">'Cash Flow Statement'!I28</f>
        <v>158619.122903241</v>
      </c>
    </row>
    <row r="21" customFormat="false" ht="15" hidden="false" customHeight="true" outlineLevel="0" collapsed="false">
      <c r="B21" s="27" t="s">
        <v>311</v>
      </c>
      <c r="C21" s="28" t="s">
        <v>308</v>
      </c>
      <c r="D21" s="46" t="n">
        <f aca="false">'Cash Flow Statement'!D29</f>
        <v>0.159813780667723</v>
      </c>
      <c r="E21" s="46" t="n">
        <f aca="false">'Cash Flow Statement'!E29</f>
        <v>0.172517843621264</v>
      </c>
      <c r="F21" s="46" t="n">
        <f aca="false">'Cash Flow Statement'!F29</f>
        <v>0.218611156194843</v>
      </c>
      <c r="G21" s="46" t="n">
        <f aca="false">'Cash Flow Statement'!G29</f>
        <v>0.239673295878521</v>
      </c>
      <c r="H21" s="46" t="n">
        <f aca="false">'Cash Flow Statement'!H29</f>
        <v>0.311558778387042</v>
      </c>
      <c r="I21" s="46" t="n">
        <f aca="false">'Cash Flow Statement'!I29</f>
        <v>0.310638291853675</v>
      </c>
    </row>
    <row r="23" customFormat="false" ht="15" hidden="false" customHeight="true" outlineLevel="0" collapsed="false">
      <c r="B23" s="25" t="s">
        <v>312</v>
      </c>
      <c r="C23" s="26"/>
      <c r="D23" s="26"/>
      <c r="E23" s="26"/>
      <c r="F23" s="26"/>
      <c r="G23" s="26"/>
      <c r="H23" s="26"/>
      <c r="I23" s="26"/>
    </row>
    <row r="24" customFormat="false" ht="15" hidden="false" customHeight="true" outlineLevel="0" collapsed="false">
      <c r="B24" s="40" t="s">
        <v>313</v>
      </c>
      <c r="C24" s="28" t="s">
        <v>314</v>
      </c>
      <c r="D24" s="39" t="n">
        <f aca="false">'Balance Sheet'!D6</f>
        <v>38016</v>
      </c>
      <c r="E24" s="39" t="n">
        <f aca="false">'Balance Sheet'!E6</f>
        <v>62639</v>
      </c>
      <c r="F24" s="39" t="n">
        <f aca="false">'Balance Sheet'!F6</f>
        <v>23646</v>
      </c>
      <c r="G24" s="39" t="n">
        <f aca="false">'Balance Sheet'!G6</f>
        <v>-8715.44840000001</v>
      </c>
      <c r="H24" s="39" t="n">
        <f aca="false">'Balance Sheet'!H6</f>
        <v>-46110.53869668</v>
      </c>
      <c r="I24" s="39" t="n">
        <f aca="false">'Balance Sheet'!I6</f>
        <v>-86303.2765770944</v>
      </c>
    </row>
    <row r="25" customFormat="false" ht="15" hidden="false" customHeight="true" outlineLevel="0" collapsed="false">
      <c r="B25" s="40" t="s">
        <v>315</v>
      </c>
      <c r="C25" s="28" t="s">
        <v>314</v>
      </c>
      <c r="D25" s="39" t="n">
        <f aca="false">'Balance Sheet'!D17</f>
        <v>142664</v>
      </c>
      <c r="E25" s="39" t="n">
        <f aca="false">'Balance Sheet'!E17</f>
        <v>210036</v>
      </c>
      <c r="F25" s="39" t="n">
        <f aca="false">'Balance Sheet'!F17</f>
        <v>170003</v>
      </c>
      <c r="G25" s="39" t="n">
        <f aca="false">'Balance Sheet'!G17</f>
        <v>244748.785868493</v>
      </c>
      <c r="H25" s="39" t="n">
        <f aca="false">'Balance Sheet'!H17</f>
        <v>357544.31270806</v>
      </c>
      <c r="I25" s="39" t="n">
        <f aca="false">'Balance Sheet'!I17</f>
        <v>479345.641270025</v>
      </c>
    </row>
    <row r="26" customFormat="false" ht="15" hidden="false" customHeight="true" outlineLevel="0" collapsed="false">
      <c r="B26" s="40" t="s">
        <v>316</v>
      </c>
      <c r="C26" s="28" t="s">
        <v>314</v>
      </c>
      <c r="D26" s="39" t="n">
        <f aca="false">'Balance Sheet'!D26</f>
        <v>98667</v>
      </c>
      <c r="E26" s="39" t="n">
        <f aca="false">'Balance Sheet'!E26</f>
        <v>109106</v>
      </c>
      <c r="F26" s="39" t="n">
        <f aca="false">'Balance Sheet'!F26</f>
        <v>98959</v>
      </c>
      <c r="G26" s="39" t="n">
        <f aca="false">'Balance Sheet'!G26</f>
        <v>96979.82</v>
      </c>
      <c r="H26" s="39" t="n">
        <f aca="false">'Balance Sheet'!H26</f>
        <v>95040.2236</v>
      </c>
      <c r="I26" s="39" t="n">
        <f aca="false">'Balance Sheet'!I26</f>
        <v>93139.419128</v>
      </c>
    </row>
    <row r="27" customFormat="false" ht="15" hidden="false" customHeight="true" outlineLevel="0" collapsed="false">
      <c r="B27" s="40" t="s">
        <v>317</v>
      </c>
      <c r="C27" s="28" t="s">
        <v>314</v>
      </c>
      <c r="D27" s="39" t="n">
        <f aca="false">'Balance Sheet'!D26-'Balance Sheet'!D6</f>
        <v>60651</v>
      </c>
      <c r="E27" s="39" t="n">
        <f aca="false">'Balance Sheet'!E26-'Balance Sheet'!E6</f>
        <v>46467</v>
      </c>
      <c r="F27" s="39" t="n">
        <f aca="false">'Balance Sheet'!F26-'Balance Sheet'!F6</f>
        <v>75313</v>
      </c>
      <c r="G27" s="39" t="n">
        <f aca="false">'Balance Sheet'!G26-'Balance Sheet'!G6</f>
        <v>105695.2684</v>
      </c>
      <c r="H27" s="39" t="n">
        <f aca="false">'Balance Sheet'!H26-'Balance Sheet'!H6</f>
        <v>141150.76229668</v>
      </c>
      <c r="I27" s="39" t="n">
        <f aca="false">'Balance Sheet'!I26-'Balance Sheet'!I6</f>
        <v>179442.695705094</v>
      </c>
    </row>
    <row r="28" customFormat="false" ht="15" hidden="false" customHeight="true" outlineLevel="0" collapsed="false">
      <c r="B28" s="40" t="s">
        <v>318</v>
      </c>
      <c r="C28" s="28" t="s">
        <v>314</v>
      </c>
      <c r="D28" s="39" t="n">
        <f aca="false">'Balance Sheet'!D36</f>
        <v>61866</v>
      </c>
      <c r="E28" s="39" t="n">
        <f aca="false">'Balance Sheet'!E36</f>
        <v>61151</v>
      </c>
      <c r="F28" s="39" t="n">
        <f aca="false">'Balance Sheet'!F36</f>
        <v>50672</v>
      </c>
      <c r="G28" s="39" t="n">
        <f aca="false">'Balance Sheet'!G36</f>
        <v>172201.0736</v>
      </c>
      <c r="H28" s="39" t="n">
        <f aca="false">'Balance Sheet'!H36</f>
        <v>308568.357818</v>
      </c>
      <c r="I28" s="39" t="n">
        <f aca="false">'Balance Sheet'!I36</f>
        <v>455845.02477344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100"/>
  </cols>
  <sheetData>
    <row r="1" customFormat="false" ht="17.25" hidden="false" customHeight="true" outlineLevel="0" collapsed="false">
      <c r="B1" s="20" t="s">
        <v>319</v>
      </c>
    </row>
    <row r="3" customFormat="false" ht="15" hidden="false" customHeight="true" outlineLevel="0" collapsed="false">
      <c r="B3" s="47" t="s">
        <v>320</v>
      </c>
    </row>
    <row r="4" customFormat="false" ht="15" hidden="false" customHeight="true" outlineLevel="0" collapsed="false">
      <c r="B4" s="27" t="s">
        <v>321</v>
      </c>
    </row>
    <row r="5" customFormat="false" ht="15" hidden="false" customHeight="true" outlineLevel="0" collapsed="false">
      <c r="B5" s="27" t="s">
        <v>322</v>
      </c>
    </row>
    <row r="6" customFormat="false" ht="15" hidden="false" customHeight="true" outlineLevel="0" collapsed="false">
      <c r="B6" s="27" t="s">
        <v>323</v>
      </c>
    </row>
    <row r="8" customFormat="false" ht="15" hidden="false" customHeight="true" outlineLevel="0" collapsed="false">
      <c r="B8" s="47" t="s">
        <v>324</v>
      </c>
    </row>
    <row r="9" customFormat="false" ht="15" hidden="false" customHeight="true" outlineLevel="0" collapsed="false">
      <c r="B9" s="27" t="s">
        <v>325</v>
      </c>
    </row>
    <row r="10" customFormat="false" ht="15" hidden="false" customHeight="true" outlineLevel="0" collapsed="false">
      <c r="B10" s="27" t="s">
        <v>326</v>
      </c>
    </row>
    <row r="11" customFormat="false" ht="15" hidden="false" customHeight="true" outlineLevel="0" collapsed="false">
      <c r="B11" s="27" t="s">
        <v>327</v>
      </c>
    </row>
    <row r="13" customFormat="false" ht="15" hidden="false" customHeight="true" outlineLevel="0" collapsed="false">
      <c r="B13" s="47" t="s">
        <v>328</v>
      </c>
    </row>
    <row r="14" customFormat="false" ht="15" hidden="false" customHeight="true" outlineLevel="0" collapsed="false">
      <c r="B14" s="27" t="s">
        <v>329</v>
      </c>
    </row>
    <row r="15" customFormat="false" ht="15" hidden="false" customHeight="true" outlineLevel="0" collapsed="false">
      <c r="B15" s="27" t="s">
        <v>330</v>
      </c>
    </row>
    <row r="16" customFormat="false" ht="15" hidden="false" customHeight="true" outlineLevel="0" collapsed="false">
      <c r="B16" s="27" t="s">
        <v>331</v>
      </c>
    </row>
    <row r="17" customFormat="false" ht="15" hidden="false" customHeight="true" outlineLevel="0" collapsed="false">
      <c r="B17" s="27" t="s">
        <v>332</v>
      </c>
    </row>
    <row r="18" customFormat="false" ht="15" hidden="false" customHeight="true" outlineLevel="0" collapsed="false">
      <c r="B18" s="27" t="s">
        <v>333</v>
      </c>
    </row>
    <row r="19" customFormat="false" ht="15" hidden="false" customHeight="true" outlineLevel="0" collapsed="false">
      <c r="B19" s="27" t="s">
        <v>334</v>
      </c>
    </row>
    <row r="20" customFormat="false" ht="15" hidden="false" customHeight="true" outlineLevel="0" collapsed="false">
      <c r="B20" s="27" t="s">
        <v>335</v>
      </c>
    </row>
    <row r="21" customFormat="false" ht="15" hidden="false" customHeight="true" outlineLevel="0" collapsed="false">
      <c r="B21" s="27" t="s">
        <v>336</v>
      </c>
    </row>
    <row r="23" customFormat="false" ht="15" hidden="false" customHeight="true" outlineLevel="0" collapsed="false">
      <c r="B23" s="47" t="s">
        <v>337</v>
      </c>
    </row>
    <row r="24" customFormat="false" ht="15" hidden="false" customHeight="true" outlineLevel="0" collapsed="false">
      <c r="B24" s="27" t="s">
        <v>338</v>
      </c>
    </row>
    <row r="25" customFormat="false" ht="15" hidden="false" customHeight="true" outlineLevel="0" collapsed="false">
      <c r="B25" s="27" t="s">
        <v>339</v>
      </c>
    </row>
    <row r="26" customFormat="false" ht="15" hidden="false" customHeight="true" outlineLevel="0" collapsed="false">
      <c r="B26" s="27" t="s">
        <v>340</v>
      </c>
    </row>
    <row r="27" customFormat="false" ht="15" hidden="false" customHeight="true" outlineLevel="0" collapsed="false">
      <c r="B27" s="27" t="s">
        <v>341</v>
      </c>
    </row>
    <row r="28" customFormat="false" ht="15" hidden="false" customHeight="true" outlineLevel="0" collapsed="false">
      <c r="B28" s="27" t="s">
        <v>342</v>
      </c>
    </row>
    <row r="29" customFormat="false" ht="15" hidden="false" customHeight="true" outlineLevel="0" collapsed="false">
      <c r="B29" s="27" t="s">
        <v>343</v>
      </c>
    </row>
    <row r="31" customFormat="false" ht="15" hidden="false" customHeight="true" outlineLevel="0" collapsed="false">
      <c r="B31" s="47" t="s">
        <v>344</v>
      </c>
    </row>
    <row r="32" customFormat="false" ht="15" hidden="false" customHeight="true" outlineLevel="0" collapsed="false">
      <c r="B32" s="27" t="s">
        <v>345</v>
      </c>
    </row>
    <row r="33" customFormat="false" ht="15" hidden="false" customHeight="true" outlineLevel="0" collapsed="false">
      <c r="B33" s="27" t="s">
        <v>346</v>
      </c>
    </row>
    <row r="34" customFormat="false" ht="15" hidden="false" customHeight="true" outlineLevel="0" collapsed="false">
      <c r="B34" s="27" t="s">
        <v>347</v>
      </c>
    </row>
    <row r="35" customFormat="false" ht="15" hidden="false" customHeight="true" outlineLevel="0" collapsed="false">
      <c r="B35" s="27" t="s">
        <v>348</v>
      </c>
    </row>
    <row r="36" customFormat="false" ht="15" hidden="false" customHeight="true" outlineLevel="0" collapsed="false">
      <c r="B36" s="27" t="s">
        <v>349</v>
      </c>
    </row>
    <row r="37" customFormat="false" ht="15" hidden="false" customHeight="true" outlineLevel="0" collapsed="false">
      <c r="B37" s="27" t="s">
        <v>350</v>
      </c>
    </row>
    <row r="38" customFormat="false" ht="15" hidden="false" customHeight="true" outlineLevel="0" collapsed="false">
      <c r="B38" s="27" t="s">
        <v>351</v>
      </c>
    </row>
    <row r="39" customFormat="false" ht="15" hidden="false" customHeight="true" outlineLevel="0" collapsed="false">
      <c r="B39" s="2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2026-03-07T17:47:56Z</dcterms:created>
  <dc:creator>openpyxl</dc:creator>
  <dc:description/>
  <dc:language>en-US</dc:language>
  <cp:lastModifiedBy/>
  <dcterms:modified xsi:type="dcterms:W3CDTF">2026-03-07T17:56:12Z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